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Nguon_tham_khao" sheetId="2" state="visible" r:id="rId2"/>
    <sheet name="DM_Mon_GDPT2018" sheetId="3" state="visible" r:id="rId3"/>
    <sheet name="DM_Giao_vien" sheetId="4" state="visible" r:id="rId4"/>
    <sheet name="DM_Lop" sheetId="5" state="visible" r:id="rId5"/>
    <sheet name="DM_To_hop" sheetId="6" state="visible" r:id="rId6"/>
    <sheet name="Phan_cong" sheetId="7" state="visible" r:id="rId7"/>
    <sheet name="Tong_hop_GV" sheetId="8" state="visible" r:id="rId8"/>
  </sheets>
  <definedNames>
    <definedName name="_xlnm._FilterDatabase" localSheetId="6" hidden="1">'Phan_cong'!$A$2:$R$107</definedName>
    <definedName name="_xlnm._FilterDatabase" localSheetId="7" hidden="1">'Tong_hop_GV'!$A$2:$N$23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5"/>
    </font>
    <font>
      <b val="1"/>
      <color rgb="00FFFFFF"/>
      <sz val="11"/>
    </font>
    <font>
      <b val="1"/>
      <sz val="12"/>
    </font>
    <font>
      <name val="Calibri"/>
      <family val="2"/>
      <color theme="10"/>
      <sz val="12"/>
      <scheme val="minor"/>
    </font>
  </fonts>
  <fills count="4">
    <fill>
      <patternFill/>
    </fill>
    <fill>
      <patternFill patternType="gray125"/>
    </fill>
    <fill>
      <patternFill patternType="solid">
        <fgColor rgb="00FFF2CC"/>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4" fillId="0" borderId="0"/>
  </cellStyleXfs>
  <cellXfs count="7">
    <xf numFmtId="0" fontId="0" fillId="0" borderId="0" pivotButton="0" quotePrefix="0" xfId="0"/>
    <xf numFmtId="0" fontId="1" fillId="0" borderId="0" pivotButton="0" quotePrefix="0" xfId="0"/>
    <xf numFmtId="0" fontId="0" fillId="2" borderId="0" applyAlignment="1" pivotButton="0" quotePrefix="0" xfId="0">
      <alignment horizontal="left" vertical="center" wrapText="1"/>
    </xf>
    <xf numFmtId="0" fontId="2" fillId="3" borderId="1" applyAlignment="1" pivotButton="0" quotePrefix="0" xfId="0">
      <alignment horizontal="left" vertical="center" wrapText="1"/>
    </xf>
    <xf numFmtId="0" fontId="0" fillId="0" borderId="1" applyAlignment="1" pivotButton="0" quotePrefix="0" xfId="0">
      <alignment horizontal="left" vertical="center" wrapText="1"/>
    </xf>
    <xf numFmtId="0" fontId="3" fillId="0" borderId="0" pivotButton="0" quotePrefix="0" xfId="0"/>
    <xf numFmtId="0" fontId="4" fillId="0" borderId="1" applyAlignment="1" pivotButton="0" quotePrefix="0" xfId="1">
      <alignment horizontal="left" vertical="center" wrapText="1"/>
    </xf>
  </cellXfs>
  <cellStyles count="2">
    <cellStyle name="Normal" xfId="0" builtinId="0" hidden="0"/>
    <cellStyle name="Hyperlink" xfId="1" builtinId="8" hidden="0"/>
  </cellStyles>
  <dxfs count="2">
    <dxf>
      <fill>
        <patternFill patternType="solid">
          <fgColor rgb="00F4CC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huvienphapluat.vn/van-ban/Giao-duc/Thong-tu-32-2018-TT-BGDDT-Chuong-trinh-giao-duc-pho-thong-403454.aspx" TargetMode="External" Id="rId1" /><Relationship Type="http://schemas.openxmlformats.org/officeDocument/2006/relationships/hyperlink" Target="https://thuvienphapluat.vn/van-ban/Giao-duc/Thong-tu-13-2022-TT-BGD?T-sua-doi-Thong-tu-32-2018-TT-BGDDT-Chuong-trinh-giao-duc-524666.aspx" TargetMode="External" Id="rId2" /><Relationship Type="http://schemas.openxmlformats.org/officeDocument/2006/relationships/hyperlink" Target="https://moet.gov.vn/content/tintuc/Lists/News/Attachments/8421/chuong-trinh-tong-the-ctgdpt-2018.pdf" TargetMode="External" Id="rId3" /><Relationship Type="http://schemas.openxmlformats.org/officeDocument/2006/relationships/hyperlink" Target="https://thuvienphapluat.vn/cong-van/Giao-duc/Cong-van-5512-BGDDT-GDTrH-2020-xay-dung-va-to-chuc-thuc-hien-ke-hoach-giao-duc-cua-nha-truong-462988.aspx" TargetMode="External" Id="rId4" /><Relationship Type="http://schemas.openxmlformats.org/officeDocument/2006/relationships/hyperlink" Target="https://congbao.chinhphu.vn/van-ban/thong-tu-so-05-2025-tt-bgddt-44543.htm" TargetMode="External" Id="rId5" /></Relationships>
</file>

<file path=xl/worksheets/sheet1.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30" customWidth="1" min="1" max="1"/>
    <col width="16" customWidth="1" min="2" max="2"/>
    <col width="52" customWidth="1" min="3" max="3"/>
    <col width="14" customWidth="1" min="4" max="4"/>
    <col width="14" customWidth="1" min="5" max="5"/>
    <col width="14" customWidth="1" min="6" max="6"/>
    <col width="14" customWidth="1" min="7" max="7"/>
    <col width="14" customWidth="1" min="8" max="8"/>
  </cols>
  <sheetData>
    <row r="1">
      <c r="A1" s="1" t="inlineStr">
        <is>
          <t>B?ng ph?n c?ng gi?ng d?y THPT theo c?u tr?c GDPT 2018</t>
        </is>
      </c>
    </row>
    <row r="2">
      <c r="A2" s="2" t="inlineStr">
        <is>
          <t>File n?y l? b?n c? d? li?u m?u minh h?a. B?n c? th? s?a tr?c ti?p danh m?c gi?o vi?n, l?p, t? h?p v? b?ng ph?n c?ng ?? d?ng cho tr??ng c?a m?nh.</t>
        </is>
      </c>
    </row>
    <row r="3">
      <c r="A3" s="3" t="inlineStr">
        <is>
          <t>Tham s?</t>
        </is>
      </c>
      <c r="B3" s="3" t="inlineStr">
        <is>
          <t>Gi? tr?</t>
        </is>
      </c>
      <c r="C3" s="3" t="inlineStr">
        <is>
          <t>Ghi ch?</t>
        </is>
      </c>
    </row>
    <row r="4">
      <c r="A4" s="4" t="inlineStr">
        <is>
          <t>N?m h?c</t>
        </is>
      </c>
      <c r="B4" s="4" t="inlineStr">
        <is>
          <t>2026-2027</t>
        </is>
      </c>
      <c r="C4" s="4" t="inlineStr">
        <is>
          <t>Tham s? m?c ??nh c?a file</t>
        </is>
      </c>
    </row>
    <row r="5">
      <c r="A5" s="4" t="inlineStr">
        <is>
          <t>S? tu?n HK1</t>
        </is>
      </c>
      <c r="B5" s="4" t="n">
        <v>18</v>
      </c>
      <c r="C5" s="4" t="inlineStr">
        <is>
          <t>D?ng ?? quy ??i ti?t HK1 b?nh qu?n/tu?n</t>
        </is>
      </c>
    </row>
    <row r="6">
      <c r="A6" s="4" t="inlineStr">
        <is>
          <t>S? tu?n HK2</t>
        </is>
      </c>
      <c r="B6" s="4" t="n">
        <v>17</v>
      </c>
      <c r="C6" s="4" t="inlineStr">
        <is>
          <t>D?ng ?? quy ??i ti?t HK2 b?nh qu?n/tu?n</t>
        </is>
      </c>
    </row>
    <row r="7">
      <c r="A7" s="4" t="inlineStr">
        <is>
          <t>T?ng s? tu?n th?c h?c</t>
        </is>
      </c>
      <c r="B7" s="4">
        <f>B5+B6</f>
        <v/>
      </c>
      <c r="C7" s="4" t="inlineStr">
        <is>
          <t>Th?ng th??ng 35 tu?n th?c h?c c?p THPT</t>
        </is>
      </c>
    </row>
    <row r="8">
      <c r="A8" s="4" t="inlineStr">
        <is>
          <t>??nh m?c ti?t/tu?n GV THPT</t>
        </is>
      </c>
      <c r="B8" s="4" t="n">
        <v>17</v>
      </c>
      <c r="C8" s="4" t="inlineStr">
        <is>
          <t>C? th? ch?nh theo tr??ng h?p gi?m tr?/ki?m nhi?m</t>
        </is>
      </c>
    </row>
    <row r="10">
      <c r="A10" s="5" t="inlineStr">
        <is>
          <t>?i?m chu?n h?a theo ngu?n tham kh?o</t>
        </is>
      </c>
    </row>
    <row r="11">
      <c r="A11" s="4" t="inlineStr">
        <is>
          <t>1. Gi? c?u tr?c THPT theo GDPT 2018: 8 n?i dung b?t bu?c, 4 m?n l?a ch?n, 3 c?m chuy?n ?? h?c t?p.</t>
        </is>
      </c>
    </row>
    <row r="12">
      <c r="A12" s="4" t="inlineStr">
        <is>
          <t>2. L?ch s? ???c ??t ? nh?m b?t bu?c theo ?i?u ch?nh n?m 2022.</t>
        </is>
      </c>
    </row>
    <row r="13">
      <c r="A13" s="4" t="inlineStr">
        <is>
          <t>3. M? chuy?n ?? nh? CD_TOAN, CD_VL... l? m? qu?n tr? n?i b? ?? t?ch ph?n ph?n c?ng gi?o vi?n; tr??ng c? th? ??i t?n m?.</t>
        </is>
      </c>
    </row>
    <row r="14">
      <c r="A14" s="4" t="inlineStr">
        <is>
          <t>4. B?n n?y ?? n?p d? li?u m?u ?? b?n nh?n th?y ngay c?ch ?i?n v? c?ch t?ng h?p t?i GV.</t>
        </is>
      </c>
    </row>
  </sheetData>
  <mergeCells count="6">
    <mergeCell ref="A12:H12"/>
    <mergeCell ref="A2:H2"/>
    <mergeCell ref="A13:H13"/>
    <mergeCell ref="A11:H11"/>
    <mergeCell ref="A14:H14"/>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8" customWidth="1" min="1" max="1"/>
    <col width="34" customWidth="1" min="2" max="2"/>
    <col width="66" customWidth="1" min="3" max="3"/>
    <col width="84" customWidth="1" min="4" max="4"/>
  </cols>
  <sheetData>
    <row r="1">
      <c r="A1" s="1" t="inlineStr">
        <is>
          <t>Ngu?n tham kh?o s? d?ng ?? thi?t k? file</t>
        </is>
      </c>
    </row>
    <row r="2">
      <c r="A2" s="3" t="inlineStr">
        <is>
          <t>STT</t>
        </is>
      </c>
      <c r="B2" s="3" t="inlineStr">
        <is>
          <t>Ngu?n / v?n b?n</t>
        </is>
      </c>
      <c r="C2" s="3" t="inlineStr">
        <is>
          <t>Vai tr? trong thi?t k? file</t>
        </is>
      </c>
      <c r="D2" s="3" t="inlineStr">
        <is>
          <t>Li?n k?t</t>
        </is>
      </c>
    </row>
    <row r="3">
      <c r="A3" s="4" t="n">
        <v>1</v>
      </c>
      <c r="B3" s="4" t="inlineStr">
        <is>
          <t>Th?ng t? 32/2018/TT-BGD?T</t>
        </is>
      </c>
      <c r="C3" s="4" t="inlineStr">
        <is>
          <t>Khung CT GDPT 2018 v? c?u tr?c ch??ng tr?nh c?p THPT.</t>
        </is>
      </c>
      <c r="D3" s="6" t="inlineStr">
        <is>
          <t>https://thuvienphapluat.vn/van-ban/Giao-duc/Thong-tu-32-2018-TT-BGDDT-Chuong-trinh-giao-duc-pho-thong-403454.aspx</t>
        </is>
      </c>
    </row>
    <row r="4">
      <c r="A4" s="4" t="n">
        <v>2</v>
      </c>
      <c r="B4" s="4" t="inlineStr">
        <is>
          <t>Th?ng t? 13/2022/TT-BGD?T</t>
        </is>
      </c>
      <c r="C4" s="4" t="inlineStr">
        <is>
          <t>?i?u ch?nh CT GDPT 2018, trong ?? c? n?i dung L?ch s? ? THPT.</t>
        </is>
      </c>
      <c r="D4" s="6" t="inlineStr">
        <is>
          <t>https://thuvienphapluat.vn/van-ban/Giao-duc/Thong-tu-13-2022-TT-BGD?T-sua-doi-Thong-tu-32-2018-TT-BGDDT-Chuong-trinh-giao-duc-524666.aspx</t>
        </is>
      </c>
    </row>
    <row r="5">
      <c r="A5" s="4" t="n">
        <v>3</v>
      </c>
      <c r="B5" s="4" t="inlineStr">
        <is>
          <t>Ch??ng tr?nh t?ng th? CTGDPT 2018 - B? GD&amp;?T</t>
        </is>
      </c>
      <c r="C5" s="4" t="inlineStr">
        <is>
          <t>Ngu?n ch?nh th?ng ?? ??i chi?u t?n m?n, ho?t ??ng v? logic ch??ng tr?nh.</t>
        </is>
      </c>
      <c r="D5" s="6" t="inlineStr">
        <is>
          <t>https://moet.gov.vn/content/tintuc/Lists/News/Attachments/8421/chuong-trinh-tong-the-ctgdpt-2018.pdf</t>
        </is>
      </c>
    </row>
    <row r="6">
      <c r="A6" s="4" t="n">
        <v>4</v>
      </c>
      <c r="B6" s="4" t="inlineStr">
        <is>
          <t>C?ng v?n 5512/BGD?T-GDTrH</t>
        </is>
      </c>
      <c r="C6" s="4" t="inlineStr">
        <is>
          <t>Tham kh?o logic x?y d?ng k? ho?ch gi?o d?c nh? tr??ng.</t>
        </is>
      </c>
      <c r="D6" s="6" t="inlineStr">
        <is>
          <t>https://thuvienphapluat.vn/cong-van/Giao-duc/Cong-van-5512-BGDDT-GDTrH-2020-xay-dung-va-to-chuc-thuc-hien-ke-hoach-giao-duc-cua-nha-truong-462988.aspx</t>
        </is>
      </c>
    </row>
    <row r="7">
      <c r="A7" s="4" t="n">
        <v>5</v>
      </c>
      <c r="B7" s="4" t="inlineStr">
        <is>
          <t>Th?ng t? 05/2025/TT-BGD?T</t>
        </is>
      </c>
      <c r="C7" s="4" t="inlineStr">
        <is>
          <t>Tham kh?o ??nh m?c ti?t d?y ?? l?m sheet t?ng h?p t?i gi?o vi?n.</t>
        </is>
      </c>
      <c r="D7" s="6" t="inlineStr">
        <is>
          <t>https://congbao.chinhphu.vn/van-ban/thong-tu-so-05-2025-tt-bgddt-44543.htm</t>
        </is>
      </c>
    </row>
  </sheetData>
  <mergeCells count="1">
    <mergeCell ref="A1:D1"/>
  </mergeCells>
  <hyperlinks>
    <hyperlink xmlns:r="http://schemas.openxmlformats.org/officeDocument/2006/relationships" ref="D3"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1" workbookViewId="0">
      <pane ySplit="2" topLeftCell="A3" activePane="bottomLeft" state="frozen"/>
      <selection pane="bottomLeft" activeCell="A1" sqref="A1"/>
    </sheetView>
  </sheetViews>
  <sheetFormatPr baseColWidth="8" defaultRowHeight="15"/>
  <cols>
    <col width="14" customWidth="1" min="1" max="1"/>
    <col width="36" customWidth="1" min="2" max="2"/>
    <col width="14" customWidth="1" min="3" max="3"/>
    <col width="18" customWidth="1" min="4" max="4"/>
    <col width="12" customWidth="1" min="5" max="5"/>
    <col width="16" customWidth="1" min="6" max="6"/>
    <col width="44" customWidth="1" min="7" max="7"/>
  </cols>
  <sheetData>
    <row r="1">
      <c r="A1" s="1" t="inlineStr">
        <is>
          <t>Danh m?c m?n h?c / ho?t ??ng gi?o d?c / chuy?n ??</t>
        </is>
      </c>
    </row>
    <row r="2">
      <c r="A2" s="3" t="inlineStr">
        <is>
          <t>M?_m?n</t>
        </is>
      </c>
      <c r="B2" s="3" t="inlineStr">
        <is>
          <t>T?n_m?n</t>
        </is>
      </c>
      <c r="C2" s="3" t="inlineStr">
        <is>
          <t>Nh?m_CT</t>
        </is>
      </c>
      <c r="D2" s="3" t="inlineStr">
        <is>
          <t>T?nh_ch?t</t>
        </is>
      </c>
      <c r="E2" s="3" t="inlineStr">
        <is>
          <t>Ti?t_n?m</t>
        </is>
      </c>
      <c r="F2" s="3" t="inlineStr">
        <is>
          <t>C?_trong_t?_h?p</t>
        </is>
      </c>
      <c r="G2" s="3" t="inlineStr">
        <is>
          <t>Ghi_ch?</t>
        </is>
      </c>
    </row>
    <row r="3">
      <c r="A3" s="4" t="inlineStr">
        <is>
          <t>NV</t>
        </is>
      </c>
      <c r="B3" s="4" t="inlineStr">
        <is>
          <t>Ng? v?n</t>
        </is>
      </c>
      <c r="C3" s="4" t="inlineStr">
        <is>
          <t>B?t bu?c</t>
        </is>
      </c>
      <c r="D3" s="4" t="inlineStr">
        <is>
          <t>M?n h?c</t>
        </is>
      </c>
      <c r="E3" s="4" t="n">
        <v>105</v>
      </c>
      <c r="F3" s="4" t="inlineStr">
        <is>
          <t>Kh?ng</t>
        </is>
      </c>
      <c r="G3" s="4" t="inlineStr">
        <is>
          <t>B?t bu?c cho m?i h?c sinh THPT</t>
        </is>
      </c>
    </row>
    <row r="4">
      <c r="A4" s="4" t="inlineStr">
        <is>
          <t>TOAN</t>
        </is>
      </c>
      <c r="B4" s="4" t="inlineStr">
        <is>
          <t>To?n</t>
        </is>
      </c>
      <c r="C4" s="4" t="inlineStr">
        <is>
          <t>B?t bu?c</t>
        </is>
      </c>
      <c r="D4" s="4" t="inlineStr">
        <is>
          <t>M?n h?c</t>
        </is>
      </c>
      <c r="E4" s="4" t="n">
        <v>105</v>
      </c>
      <c r="F4" s="4" t="inlineStr">
        <is>
          <t>Kh?ng</t>
        </is>
      </c>
      <c r="G4" s="4" t="inlineStr">
        <is>
          <t>B?t bu?c cho m?i h?c sinh THPT</t>
        </is>
      </c>
    </row>
    <row r="5">
      <c r="A5" s="4" t="inlineStr">
        <is>
          <t>ANH</t>
        </is>
      </c>
      <c r="B5" s="4" t="inlineStr">
        <is>
          <t>Ngo?i ng? 1</t>
        </is>
      </c>
      <c r="C5" s="4" t="inlineStr">
        <is>
          <t>B?t bu?c</t>
        </is>
      </c>
      <c r="D5" s="4" t="inlineStr">
        <is>
          <t>M?n h?c</t>
        </is>
      </c>
      <c r="E5" s="4" t="n">
        <v>105</v>
      </c>
      <c r="F5" s="4" t="inlineStr">
        <is>
          <t>Kh?ng</t>
        </is>
      </c>
      <c r="G5" s="4" t="inlineStr">
        <is>
          <t>D?ng Ti?ng Anh l?m v? d?</t>
        </is>
      </c>
    </row>
    <row r="6">
      <c r="A6" s="4" t="inlineStr">
        <is>
          <t>LS</t>
        </is>
      </c>
      <c r="B6" s="4" t="inlineStr">
        <is>
          <t>L?ch s?</t>
        </is>
      </c>
      <c r="C6" s="4" t="inlineStr">
        <is>
          <t>B?t bu?c</t>
        </is>
      </c>
      <c r="D6" s="4" t="inlineStr">
        <is>
          <t>M?n h?c</t>
        </is>
      </c>
      <c r="E6" s="4" t="n">
        <v>52</v>
      </c>
      <c r="F6" s="4" t="inlineStr">
        <is>
          <t>Kh?ng</t>
        </is>
      </c>
      <c r="G6" s="4" t="inlineStr">
        <is>
          <t>B?t bu?c theo ?i?u ch?nh n?m 2022</t>
        </is>
      </c>
    </row>
    <row r="7">
      <c r="A7" s="4" t="inlineStr">
        <is>
          <t>GDTC</t>
        </is>
      </c>
      <c r="B7" s="4" t="inlineStr">
        <is>
          <t>Gi?o d?c th? ch?t</t>
        </is>
      </c>
      <c r="C7" s="4" t="inlineStr">
        <is>
          <t>B?t bu?c</t>
        </is>
      </c>
      <c r="D7" s="4" t="inlineStr">
        <is>
          <t>Ho?t ??ng gi?o d?c</t>
        </is>
      </c>
      <c r="E7" s="4" t="n">
        <v>70</v>
      </c>
      <c r="F7" s="4" t="inlineStr">
        <is>
          <t>Kh?ng</t>
        </is>
      </c>
      <c r="G7" s="4" t="inlineStr">
        <is>
          <t>B?t bu?c</t>
        </is>
      </c>
    </row>
    <row r="8">
      <c r="A8" s="4" t="inlineStr">
        <is>
          <t>GDQPAN</t>
        </is>
      </c>
      <c r="B8" s="4" t="inlineStr">
        <is>
          <t>Gi?o d?c qu?c ph?ng v? an ninh</t>
        </is>
      </c>
      <c r="C8" s="4" t="inlineStr">
        <is>
          <t>B?t bu?c</t>
        </is>
      </c>
      <c r="D8" s="4" t="inlineStr">
        <is>
          <t>M?n h?c</t>
        </is>
      </c>
      <c r="E8" s="4" t="n">
        <v>35</v>
      </c>
      <c r="F8" s="4" t="inlineStr">
        <is>
          <t>Kh?ng</t>
        </is>
      </c>
      <c r="G8" s="4" t="inlineStr">
        <is>
          <t>B?t bu?c</t>
        </is>
      </c>
    </row>
    <row r="9">
      <c r="A9" s="4" t="inlineStr">
        <is>
          <t>HDTNHN</t>
        </is>
      </c>
      <c r="B9" s="4" t="inlineStr">
        <is>
          <t>Ho?t ??ng tr?i nghi?m, h??ng nghi?p</t>
        </is>
      </c>
      <c r="C9" s="4" t="inlineStr">
        <is>
          <t>B?t bu?c</t>
        </is>
      </c>
      <c r="D9" s="4" t="inlineStr">
        <is>
          <t>Ho?t ??ng gi?o d?c</t>
        </is>
      </c>
      <c r="E9" s="4" t="n">
        <v>105</v>
      </c>
      <c r="F9" s="4" t="inlineStr">
        <is>
          <t>Kh?ng</t>
        </is>
      </c>
      <c r="G9" s="4" t="inlineStr">
        <is>
          <t>B?t bu?c</t>
        </is>
      </c>
    </row>
    <row r="10">
      <c r="A10" s="4" t="inlineStr">
        <is>
          <t>GDDP</t>
        </is>
      </c>
      <c r="B10" s="4" t="inlineStr">
        <is>
          <t>N?i dung gi?o d?c c?a ??a ph??ng</t>
        </is>
      </c>
      <c r="C10" s="4" t="inlineStr">
        <is>
          <t>B?t bu?c</t>
        </is>
      </c>
      <c r="D10" s="4" t="inlineStr">
        <is>
          <t>N?i dung gi?o d?c</t>
        </is>
      </c>
      <c r="E10" s="4" t="n">
        <v>35</v>
      </c>
      <c r="F10" s="4" t="inlineStr">
        <is>
          <t>Kh?ng</t>
        </is>
      </c>
      <c r="G10" s="4" t="inlineStr">
        <is>
          <t>B?t bu?c</t>
        </is>
      </c>
    </row>
    <row r="11">
      <c r="A11" s="4" t="inlineStr">
        <is>
          <t>DL</t>
        </is>
      </c>
      <c r="B11" s="4" t="inlineStr">
        <is>
          <t>??a l?</t>
        </is>
      </c>
      <c r="C11" s="4" t="inlineStr">
        <is>
          <t>L?a ch?n</t>
        </is>
      </c>
      <c r="D11" s="4" t="inlineStr">
        <is>
          <t>M?n h?c</t>
        </is>
      </c>
      <c r="E11" s="4" t="n">
        <v>70</v>
      </c>
      <c r="F11" s="4" t="inlineStr">
        <is>
          <t>C?</t>
        </is>
      </c>
      <c r="G11" s="4" t="inlineStr">
        <is>
          <t>M?n l?a ch?n</t>
        </is>
      </c>
    </row>
    <row r="12">
      <c r="A12" s="4" t="inlineStr">
        <is>
          <t>GDKTPL</t>
        </is>
      </c>
      <c r="B12" s="4" t="inlineStr">
        <is>
          <t>Gi?o d?c kinh t? v? ph?p lu?t</t>
        </is>
      </c>
      <c r="C12" s="4" t="inlineStr">
        <is>
          <t>L?a ch?n</t>
        </is>
      </c>
      <c r="D12" s="4" t="inlineStr">
        <is>
          <t>M?n h?c</t>
        </is>
      </c>
      <c r="E12" s="4" t="n">
        <v>70</v>
      </c>
      <c r="F12" s="4" t="inlineStr">
        <is>
          <t>C?</t>
        </is>
      </c>
      <c r="G12" s="4" t="inlineStr">
        <is>
          <t>M?n l?a ch?n</t>
        </is>
      </c>
    </row>
    <row r="13">
      <c r="A13" s="4" t="inlineStr">
        <is>
          <t>VL</t>
        </is>
      </c>
      <c r="B13" s="4" t="inlineStr">
        <is>
          <t>V?t l?</t>
        </is>
      </c>
      <c r="C13" s="4" t="inlineStr">
        <is>
          <t>L?a ch?n</t>
        </is>
      </c>
      <c r="D13" s="4" t="inlineStr">
        <is>
          <t>M?n h?c</t>
        </is>
      </c>
      <c r="E13" s="4" t="n">
        <v>70</v>
      </c>
      <c r="F13" s="4" t="inlineStr">
        <is>
          <t>C?</t>
        </is>
      </c>
      <c r="G13" s="4" t="inlineStr">
        <is>
          <t>M?n l?a ch?n</t>
        </is>
      </c>
    </row>
    <row r="14">
      <c r="A14" s="4" t="inlineStr">
        <is>
          <t>HH</t>
        </is>
      </c>
      <c r="B14" s="4" t="inlineStr">
        <is>
          <t>H?a h?c</t>
        </is>
      </c>
      <c r="C14" s="4" t="inlineStr">
        <is>
          <t>L?a ch?n</t>
        </is>
      </c>
      <c r="D14" s="4" t="inlineStr">
        <is>
          <t>M?n h?c</t>
        </is>
      </c>
      <c r="E14" s="4" t="n">
        <v>70</v>
      </c>
      <c r="F14" s="4" t="inlineStr">
        <is>
          <t>C?</t>
        </is>
      </c>
      <c r="G14" s="4" t="inlineStr">
        <is>
          <t>M?n l?a ch?n</t>
        </is>
      </c>
    </row>
    <row r="15">
      <c r="A15" s="4" t="inlineStr">
        <is>
          <t>SH</t>
        </is>
      </c>
      <c r="B15" s="4" t="inlineStr">
        <is>
          <t>Sinh h?c</t>
        </is>
      </c>
      <c r="C15" s="4" t="inlineStr">
        <is>
          <t>L?a ch?n</t>
        </is>
      </c>
      <c r="D15" s="4" t="inlineStr">
        <is>
          <t>M?n h?c</t>
        </is>
      </c>
      <c r="E15" s="4" t="n">
        <v>70</v>
      </c>
      <c r="F15" s="4" t="inlineStr">
        <is>
          <t>C?</t>
        </is>
      </c>
      <c r="G15" s="4" t="inlineStr">
        <is>
          <t>M?n l?a ch?n</t>
        </is>
      </c>
    </row>
    <row r="16">
      <c r="A16" s="4" t="inlineStr">
        <is>
          <t>CN</t>
        </is>
      </c>
      <c r="B16" s="4" t="inlineStr">
        <is>
          <t>C?ng ngh?</t>
        </is>
      </c>
      <c r="C16" s="4" t="inlineStr">
        <is>
          <t>L?a ch?n</t>
        </is>
      </c>
      <c r="D16" s="4" t="inlineStr">
        <is>
          <t>M?n h?c</t>
        </is>
      </c>
      <c r="E16" s="4" t="n">
        <v>70</v>
      </c>
      <c r="F16" s="4" t="inlineStr">
        <is>
          <t>C?</t>
        </is>
      </c>
      <c r="G16" s="4" t="inlineStr">
        <is>
          <t>M?n l?a ch?n</t>
        </is>
      </c>
    </row>
    <row r="17">
      <c r="A17" s="4" t="inlineStr">
        <is>
          <t>TH</t>
        </is>
      </c>
      <c r="B17" s="4" t="inlineStr">
        <is>
          <t>Tin h?c</t>
        </is>
      </c>
      <c r="C17" s="4" t="inlineStr">
        <is>
          <t>L?a ch?n</t>
        </is>
      </c>
      <c r="D17" s="4" t="inlineStr">
        <is>
          <t>M?n h?c</t>
        </is>
      </c>
      <c r="E17" s="4" t="n">
        <v>70</v>
      </c>
      <c r="F17" s="4" t="inlineStr">
        <is>
          <t>C?</t>
        </is>
      </c>
      <c r="G17" s="4" t="inlineStr">
        <is>
          <t>M?n l?a ch?n</t>
        </is>
      </c>
    </row>
    <row r="18">
      <c r="A18" s="4" t="inlineStr">
        <is>
          <t>AN</t>
        </is>
      </c>
      <c r="B18" s="4" t="inlineStr">
        <is>
          <t>?m nh?c</t>
        </is>
      </c>
      <c r="C18" s="4" t="inlineStr">
        <is>
          <t>L?a ch?n</t>
        </is>
      </c>
      <c r="D18" s="4" t="inlineStr">
        <is>
          <t>M?n h?c</t>
        </is>
      </c>
      <c r="E18" s="4" t="n">
        <v>70</v>
      </c>
      <c r="F18" s="4" t="inlineStr">
        <is>
          <t>C?</t>
        </is>
      </c>
      <c r="G18" s="4" t="inlineStr">
        <is>
          <t>M?n l?a ch?n</t>
        </is>
      </c>
    </row>
    <row r="19">
      <c r="A19" s="4" t="inlineStr">
        <is>
          <t>MT</t>
        </is>
      </c>
      <c r="B19" s="4" t="inlineStr">
        <is>
          <t>M? thu?t</t>
        </is>
      </c>
      <c r="C19" s="4" t="inlineStr">
        <is>
          <t>L?a ch?n</t>
        </is>
      </c>
      <c r="D19" s="4" t="inlineStr">
        <is>
          <t>M?n h?c</t>
        </is>
      </c>
      <c r="E19" s="4" t="n">
        <v>70</v>
      </c>
      <c r="F19" s="4" t="inlineStr">
        <is>
          <t>C?</t>
        </is>
      </c>
      <c r="G19" s="4" t="inlineStr">
        <is>
          <t>M?n l?a ch?n</t>
        </is>
      </c>
    </row>
    <row r="20">
      <c r="A20" s="4" t="inlineStr">
        <is>
          <t>CD_NV</t>
        </is>
      </c>
      <c r="B20" s="4" t="inlineStr">
        <is>
          <t>Chuy?n ?? h?c t?p Ng? v?n</t>
        </is>
      </c>
      <c r="C20" s="4" t="inlineStr">
        <is>
          <t>Chuy?n ??</t>
        </is>
      </c>
      <c r="D20" s="4" t="inlineStr">
        <is>
          <t>C?m chuy?n ??</t>
        </is>
      </c>
      <c r="E20" s="4" t="n">
        <v>35</v>
      </c>
      <c r="F20" s="4" t="inlineStr">
        <is>
          <t>Theo t? h?p</t>
        </is>
      </c>
      <c r="G20" s="4" t="inlineStr">
        <is>
          <t>M? qu?n tr? n?i b? ?? ph?n c?ng GV</t>
        </is>
      </c>
    </row>
    <row r="21">
      <c r="A21" s="4" t="inlineStr">
        <is>
          <t>CD_TOAN</t>
        </is>
      </c>
      <c r="B21" s="4" t="inlineStr">
        <is>
          <t>Chuy?n ?? h?c t?p To?n</t>
        </is>
      </c>
      <c r="C21" s="4" t="inlineStr">
        <is>
          <t>Chuy?n ??</t>
        </is>
      </c>
      <c r="D21" s="4" t="inlineStr">
        <is>
          <t>C?m chuy?n ??</t>
        </is>
      </c>
      <c r="E21" s="4" t="n">
        <v>35</v>
      </c>
      <c r="F21" s="4" t="inlineStr">
        <is>
          <t>Theo t? h?p</t>
        </is>
      </c>
      <c r="G21" s="4" t="inlineStr">
        <is>
          <t>M? qu?n tr? n?i b? ?? ph?n c?ng GV</t>
        </is>
      </c>
    </row>
    <row r="22">
      <c r="A22" s="4" t="inlineStr">
        <is>
          <t>CD_VL</t>
        </is>
      </c>
      <c r="B22" s="4" t="inlineStr">
        <is>
          <t>Chuy?n ?? h?c t?p V?t l?</t>
        </is>
      </c>
      <c r="C22" s="4" t="inlineStr">
        <is>
          <t>Chuy?n ??</t>
        </is>
      </c>
      <c r="D22" s="4" t="inlineStr">
        <is>
          <t>C?m chuy?n ??</t>
        </is>
      </c>
      <c r="E22" s="4" t="n">
        <v>35</v>
      </c>
      <c r="F22" s="4" t="inlineStr">
        <is>
          <t>Theo t? h?p</t>
        </is>
      </c>
      <c r="G22" s="4" t="inlineStr">
        <is>
          <t>M? qu?n tr? n?i b? ?? ph?n c?ng GV</t>
        </is>
      </c>
    </row>
    <row r="23">
      <c r="A23" s="4" t="inlineStr">
        <is>
          <t>CD_HH</t>
        </is>
      </c>
      <c r="B23" s="4" t="inlineStr">
        <is>
          <t>Chuy?n ?? h?c t?p H?a h?c</t>
        </is>
      </c>
      <c r="C23" s="4" t="inlineStr">
        <is>
          <t>Chuy?n ??</t>
        </is>
      </c>
      <c r="D23" s="4" t="inlineStr">
        <is>
          <t>C?m chuy?n ??</t>
        </is>
      </c>
      <c r="E23" s="4" t="n">
        <v>35</v>
      </c>
      <c r="F23" s="4" t="inlineStr">
        <is>
          <t>Theo t? h?p</t>
        </is>
      </c>
      <c r="G23" s="4" t="inlineStr">
        <is>
          <t>M? qu?n tr? n?i b? ?? ph?n c?ng GV</t>
        </is>
      </c>
    </row>
    <row r="24">
      <c r="A24" s="4" t="inlineStr">
        <is>
          <t>CD_DL</t>
        </is>
      </c>
      <c r="B24" s="4" t="inlineStr">
        <is>
          <t>Chuy?n ?? h?c t?p ??a l?</t>
        </is>
      </c>
      <c r="C24" s="4" t="inlineStr">
        <is>
          <t>Chuy?n ??</t>
        </is>
      </c>
      <c r="D24" s="4" t="inlineStr">
        <is>
          <t>C?m chuy?n ??</t>
        </is>
      </c>
      <c r="E24" s="4" t="n">
        <v>35</v>
      </c>
      <c r="F24" s="4" t="inlineStr">
        <is>
          <t>Theo t? h?p</t>
        </is>
      </c>
      <c r="G24" s="4" t="inlineStr">
        <is>
          <t>M? qu?n tr? n?i b? ?? ph?n c?ng GV</t>
        </is>
      </c>
    </row>
    <row r="25">
      <c r="A25" s="4" t="inlineStr">
        <is>
          <t>CD_GDKTPL</t>
        </is>
      </c>
      <c r="B25" s="4" t="inlineStr">
        <is>
          <t>Chuy?n ?? h?c t?p GDKTPL</t>
        </is>
      </c>
      <c r="C25" s="4" t="inlineStr">
        <is>
          <t>Chuy?n ??</t>
        </is>
      </c>
      <c r="D25" s="4" t="inlineStr">
        <is>
          <t>C?m chuy?n ??</t>
        </is>
      </c>
      <c r="E25" s="4" t="n">
        <v>35</v>
      </c>
      <c r="F25" s="4" t="inlineStr">
        <is>
          <t>Theo t? h?p</t>
        </is>
      </c>
      <c r="G25" s="4" t="inlineStr">
        <is>
          <t>M? qu?n tr? n?i b? ?? ph?n c?ng GV</t>
        </is>
      </c>
    </row>
    <row r="26">
      <c r="A26" s="4" t="inlineStr">
        <is>
          <t>CD_TH</t>
        </is>
      </c>
      <c r="B26" s="4" t="inlineStr">
        <is>
          <t>Chuy?n ?? h?c t?p Tin h?c</t>
        </is>
      </c>
      <c r="C26" s="4" t="inlineStr">
        <is>
          <t>Chuy?n ??</t>
        </is>
      </c>
      <c r="D26" s="4" t="inlineStr">
        <is>
          <t>C?m chuy?n ??</t>
        </is>
      </c>
      <c r="E26" s="4" t="n">
        <v>35</v>
      </c>
      <c r="F26" s="4" t="inlineStr">
        <is>
          <t>Theo t? h?p</t>
        </is>
      </c>
      <c r="G26" s="4" t="inlineStr">
        <is>
          <t>M? qu?n tr? n?i b? ?? ph?n c?ng GV</t>
        </is>
      </c>
    </row>
    <row r="27">
      <c r="A27" s="4" t="inlineStr">
        <is>
          <t>CD_CN</t>
        </is>
      </c>
      <c r="B27" s="4" t="inlineStr">
        <is>
          <t>Chuy?n ?? h?c t?p C?ng ngh?</t>
        </is>
      </c>
      <c r="C27" s="4" t="inlineStr">
        <is>
          <t>Chuy?n ??</t>
        </is>
      </c>
      <c r="D27" s="4" t="inlineStr">
        <is>
          <t>C?m chuy?n ??</t>
        </is>
      </c>
      <c r="E27" s="4" t="n">
        <v>35</v>
      </c>
      <c r="F27" s="4" t="inlineStr">
        <is>
          <t>Theo t? h?p</t>
        </is>
      </c>
      <c r="G27" s="4" t="inlineStr">
        <is>
          <t>M? qu?n tr? n?i b? ?? ph?n c?ng GV</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1" workbookViewId="0">
      <pane ySplit="2" topLeftCell="A3" activePane="bottomLeft" state="frozen"/>
      <selection pane="bottomLeft" activeCell="A1" sqref="A1"/>
    </sheetView>
  </sheetViews>
  <sheetFormatPr baseColWidth="8" defaultRowHeight="15"/>
  <cols>
    <col width="14" customWidth="1" min="1" max="1"/>
    <col width="26" customWidth="1" min="2" max="2"/>
    <col width="22" customWidth="1" min="3" max="3"/>
    <col width="22" customWidth="1" min="4" max="4"/>
    <col width="14" customWidth="1" min="5" max="5"/>
    <col width="14" customWidth="1" min="6" max="6"/>
    <col width="14" customWidth="1" min="7" max="7"/>
    <col width="16" customWidth="1" min="8" max="8"/>
    <col width="28" customWidth="1" min="9" max="9"/>
  </cols>
  <sheetData>
    <row r="1">
      <c r="A1" s="1" t="inlineStr">
        <is>
          <t>Danh m?c gi?o vi?n</t>
        </is>
      </c>
    </row>
    <row r="2">
      <c r="A2" s="3" t="inlineStr">
        <is>
          <t>M?_GV</t>
        </is>
      </c>
      <c r="B2" s="3" t="inlineStr">
        <is>
          <t>H?_t?n</t>
        </is>
      </c>
      <c r="C2" s="3" t="inlineStr">
        <is>
          <t>T?_CM</t>
        </is>
      </c>
      <c r="D2" s="3" t="inlineStr">
        <is>
          <t>M?n_chuy?n_m?n_ch?nh</t>
        </is>
      </c>
      <c r="E2" s="3" t="inlineStr">
        <is>
          <t>Tr?ng_th?i</t>
        </is>
      </c>
      <c r="F2" s="3" t="inlineStr">
        <is>
          <t>??nh_m?c_tu?n</t>
        </is>
      </c>
      <c r="G2" s="3" t="inlineStr">
        <is>
          <t>Gi?m_tr?_tu?n</t>
        </is>
      </c>
      <c r="H2" s="3" t="inlineStr">
        <is>
          <t>??nh_m?c_hi?u_l?c</t>
        </is>
      </c>
      <c r="I2" s="3" t="inlineStr">
        <is>
          <t>Ghi_ch?</t>
        </is>
      </c>
    </row>
    <row r="3">
      <c r="A3" s="4" t="inlineStr">
        <is>
          <t>GV_NV_01</t>
        </is>
      </c>
      <c r="B3" s="4" t="inlineStr">
        <is>
          <t>Nguy?n Th? Lan</t>
        </is>
      </c>
      <c r="C3" s="4" t="inlineStr">
        <is>
          <t>T? Ng? v?n</t>
        </is>
      </c>
      <c r="D3" s="4" t="inlineStr">
        <is>
          <t>NV</t>
        </is>
      </c>
      <c r="E3" s="4" t="inlineStr">
        <is>
          <t>?ang d?y</t>
        </is>
      </c>
      <c r="F3" s="4" t="n">
        <v>17</v>
      </c>
      <c r="G3" s="4" t="n">
        <v>0</v>
      </c>
      <c r="H3" s="4" t="n">
        <v>17</v>
      </c>
      <c r="I3" s="4" t="inlineStr">
        <is>
          <t>T? tr??ng chuy?n m?n</t>
        </is>
      </c>
    </row>
    <row r="4">
      <c r="A4" s="4" t="inlineStr">
        <is>
          <t>GV_NV_02</t>
        </is>
      </c>
      <c r="B4" s="4" t="inlineStr">
        <is>
          <t>Ph?m Thu H?</t>
        </is>
      </c>
      <c r="C4" s="4" t="inlineStr">
        <is>
          <t>T? Ng? v?n</t>
        </is>
      </c>
      <c r="D4" s="4" t="inlineStr">
        <is>
          <t>NV</t>
        </is>
      </c>
      <c r="E4" s="4" t="inlineStr">
        <is>
          <t>?ang d?y</t>
        </is>
      </c>
      <c r="F4" s="4" t="n">
        <v>17</v>
      </c>
      <c r="G4" s="4" t="n">
        <v>0</v>
      </c>
      <c r="H4" s="4" t="n">
        <v>17</v>
      </c>
      <c r="I4" s="4" t="inlineStr"/>
    </row>
    <row r="5">
      <c r="A5" s="4" t="inlineStr">
        <is>
          <t>GV_TOAN_01</t>
        </is>
      </c>
      <c r="B5" s="4" t="inlineStr">
        <is>
          <t>L? Quang Minh</t>
        </is>
      </c>
      <c r="C5" s="4" t="inlineStr">
        <is>
          <t>T? To?n - Tin</t>
        </is>
      </c>
      <c r="D5" s="4" t="inlineStr">
        <is>
          <t>TOAN</t>
        </is>
      </c>
      <c r="E5" s="4" t="inlineStr">
        <is>
          <t>?ang d?y</t>
        </is>
      </c>
      <c r="F5" s="4" t="n">
        <v>17</v>
      </c>
      <c r="G5" s="4" t="n">
        <v>0</v>
      </c>
      <c r="H5" s="4" t="n">
        <v>17</v>
      </c>
      <c r="I5" s="4" t="inlineStr">
        <is>
          <t>Ph? tr?ch l?p 10A1</t>
        </is>
      </c>
    </row>
    <row r="6">
      <c r="A6" s="4" t="inlineStr">
        <is>
          <t>GV_TOAN_02</t>
        </is>
      </c>
      <c r="B6" s="4" t="inlineStr">
        <is>
          <t>V? Th? H??ng</t>
        </is>
      </c>
      <c r="C6" s="4" t="inlineStr">
        <is>
          <t>T? To?n - Tin</t>
        </is>
      </c>
      <c r="D6" s="4" t="inlineStr">
        <is>
          <t>TOAN</t>
        </is>
      </c>
      <c r="E6" s="4" t="inlineStr">
        <is>
          <t>?ang d?y</t>
        </is>
      </c>
      <c r="F6" s="4" t="n">
        <v>17</v>
      </c>
      <c r="G6" s="4" t="n">
        <v>1</v>
      </c>
      <c r="H6" s="4" t="n">
        <v>16</v>
      </c>
      <c r="I6" s="4" t="inlineStr">
        <is>
          <t>Gi?m 1 ti?t do ki?m nhi?m</t>
        </is>
      </c>
    </row>
    <row r="7">
      <c r="A7" s="4" t="inlineStr">
        <is>
          <t>GV_ANH_01</t>
        </is>
      </c>
      <c r="B7" s="4" t="inlineStr">
        <is>
          <t>Tr?n Ho?i An</t>
        </is>
      </c>
      <c r="C7" s="4" t="inlineStr">
        <is>
          <t>T? Ngo?i ng?</t>
        </is>
      </c>
      <c r="D7" s="4" t="inlineStr">
        <is>
          <t>ANH</t>
        </is>
      </c>
      <c r="E7" s="4" t="inlineStr">
        <is>
          <t>?ang d?y</t>
        </is>
      </c>
      <c r="F7" s="4" t="n">
        <v>17</v>
      </c>
      <c r="G7" s="4" t="n">
        <v>0</v>
      </c>
      <c r="H7" s="4" t="n">
        <v>17</v>
      </c>
      <c r="I7" s="4" t="inlineStr"/>
    </row>
    <row r="8">
      <c r="A8" s="4" t="inlineStr">
        <is>
          <t>GV_ANH_02</t>
        </is>
      </c>
      <c r="B8" s="4" t="inlineStr">
        <is>
          <t>??o Kh?nh Linh</t>
        </is>
      </c>
      <c r="C8" s="4" t="inlineStr">
        <is>
          <t>T? Ngo?i ng?</t>
        </is>
      </c>
      <c r="D8" s="4" t="inlineStr">
        <is>
          <t>ANH</t>
        </is>
      </c>
      <c r="E8" s="4" t="inlineStr">
        <is>
          <t>?ang d?y</t>
        </is>
      </c>
      <c r="F8" s="4" t="n">
        <v>17</v>
      </c>
      <c r="G8" s="4" t="n">
        <v>0</v>
      </c>
      <c r="H8" s="4" t="n">
        <v>17</v>
      </c>
      <c r="I8" s="4" t="inlineStr"/>
    </row>
    <row r="9">
      <c r="A9" s="4" t="inlineStr">
        <is>
          <t>GV_LS_01</t>
        </is>
      </c>
      <c r="B9" s="4" t="inlineStr">
        <is>
          <t>??ng Th? H?a</t>
        </is>
      </c>
      <c r="C9" s="4" t="inlineStr">
        <is>
          <t>T? S? - ??a - KTPL</t>
        </is>
      </c>
      <c r="D9" s="4" t="inlineStr">
        <is>
          <t>LS</t>
        </is>
      </c>
      <c r="E9" s="4" t="inlineStr">
        <is>
          <t>?ang d?y</t>
        </is>
      </c>
      <c r="F9" s="4" t="n">
        <v>17</v>
      </c>
      <c r="G9" s="4" t="n">
        <v>0</v>
      </c>
      <c r="H9" s="4" t="n">
        <v>17</v>
      </c>
      <c r="I9" s="4" t="inlineStr">
        <is>
          <t>GVCN 12D1</t>
        </is>
      </c>
    </row>
    <row r="10">
      <c r="A10" s="4" t="inlineStr">
        <is>
          <t>GV_DL_01</t>
        </is>
      </c>
      <c r="B10" s="4" t="inlineStr">
        <is>
          <t>Ho?ng Ng?c S?n</t>
        </is>
      </c>
      <c r="C10" s="4" t="inlineStr">
        <is>
          <t>T? S? - ??a - KTPL</t>
        </is>
      </c>
      <c r="D10" s="4" t="inlineStr">
        <is>
          <t>DL</t>
        </is>
      </c>
      <c r="E10" s="4" t="inlineStr">
        <is>
          <t>?ang d?y</t>
        </is>
      </c>
      <c r="F10" s="4" t="n">
        <v>17</v>
      </c>
      <c r="G10" s="4" t="n">
        <v>0</v>
      </c>
      <c r="H10" s="4" t="n">
        <v>17</v>
      </c>
      <c r="I10" s="4" t="inlineStr"/>
    </row>
    <row r="11">
      <c r="A11" s="4" t="inlineStr">
        <is>
          <t>GV_GDKTPL_01</t>
        </is>
      </c>
      <c r="B11" s="4" t="inlineStr">
        <is>
          <t>L? Thu Ph??ng</t>
        </is>
      </c>
      <c r="C11" s="4" t="inlineStr">
        <is>
          <t>T? S? - ??a - KTPL</t>
        </is>
      </c>
      <c r="D11" s="4" t="inlineStr">
        <is>
          <t>GDKTPL</t>
        </is>
      </c>
      <c r="E11" s="4" t="inlineStr">
        <is>
          <t>?ang d?y</t>
        </is>
      </c>
      <c r="F11" s="4" t="n">
        <v>17</v>
      </c>
      <c r="G11" s="4" t="n">
        <v>0</v>
      </c>
      <c r="H11" s="4" t="n">
        <v>17</v>
      </c>
      <c r="I11" s="4" t="inlineStr">
        <is>
          <t>Ph? b? th? ?o?n tr??ng</t>
        </is>
      </c>
    </row>
    <row r="12">
      <c r="A12" s="4" t="inlineStr">
        <is>
          <t>GV_VL_01</t>
        </is>
      </c>
      <c r="B12" s="4" t="inlineStr">
        <is>
          <t>Phan Qu?c B?o</t>
        </is>
      </c>
      <c r="C12" s="4" t="inlineStr">
        <is>
          <t>T? KHTN</t>
        </is>
      </c>
      <c r="D12" s="4" t="inlineStr">
        <is>
          <t>VL</t>
        </is>
      </c>
      <c r="E12" s="4" t="inlineStr">
        <is>
          <t>?ang d?y</t>
        </is>
      </c>
      <c r="F12" s="4" t="n">
        <v>17</v>
      </c>
      <c r="G12" s="4" t="n">
        <v>0</v>
      </c>
      <c r="H12" s="4" t="n">
        <v>17</v>
      </c>
      <c r="I12" s="4" t="inlineStr">
        <is>
          <t>GVCN 11A1</t>
        </is>
      </c>
    </row>
    <row r="13">
      <c r="A13" s="4" t="inlineStr">
        <is>
          <t>GV_VL_02</t>
        </is>
      </c>
      <c r="B13" s="4" t="inlineStr">
        <is>
          <t>Ng? Minh ??c</t>
        </is>
      </c>
      <c r="C13" s="4" t="inlineStr">
        <is>
          <t>T? KHTN</t>
        </is>
      </c>
      <c r="D13" s="4" t="inlineStr">
        <is>
          <t>VL</t>
        </is>
      </c>
      <c r="E13" s="4" t="inlineStr">
        <is>
          <t>?ang d?y</t>
        </is>
      </c>
      <c r="F13" s="4" t="n">
        <v>17</v>
      </c>
      <c r="G13" s="4" t="n">
        <v>0</v>
      </c>
      <c r="H13" s="4" t="n">
        <v>17</v>
      </c>
      <c r="I13" s="4" t="inlineStr"/>
    </row>
    <row r="14">
      <c r="A14" s="4" t="inlineStr">
        <is>
          <t>GV_HH_01</t>
        </is>
      </c>
      <c r="B14" s="4" t="inlineStr">
        <is>
          <t>Tr?nh Thu Trang</t>
        </is>
      </c>
      <c r="C14" s="4" t="inlineStr">
        <is>
          <t>T? KHTN</t>
        </is>
      </c>
      <c r="D14" s="4" t="inlineStr">
        <is>
          <t>HH</t>
        </is>
      </c>
      <c r="E14" s="4" t="inlineStr">
        <is>
          <t>?ang d?y</t>
        </is>
      </c>
      <c r="F14" s="4" t="n">
        <v>17</v>
      </c>
      <c r="G14" s="4" t="n">
        <v>0</v>
      </c>
      <c r="H14" s="4" t="n">
        <v>17</v>
      </c>
      <c r="I14" s="4" t="inlineStr"/>
    </row>
    <row r="15">
      <c r="A15" s="4" t="inlineStr">
        <is>
          <t>GV_HH_02</t>
        </is>
      </c>
      <c r="B15" s="4" t="inlineStr">
        <is>
          <t>Nguy?n Th?o Vy</t>
        </is>
      </c>
      <c r="C15" s="4" t="inlineStr">
        <is>
          <t>T? KHTN</t>
        </is>
      </c>
      <c r="D15" s="4" t="inlineStr">
        <is>
          <t>HH</t>
        </is>
      </c>
      <c r="E15" s="4" t="inlineStr">
        <is>
          <t>?ang d?y</t>
        </is>
      </c>
      <c r="F15" s="4" t="n">
        <v>17</v>
      </c>
      <c r="G15" s="4" t="n">
        <v>0</v>
      </c>
      <c r="H15" s="4" t="n">
        <v>17</v>
      </c>
      <c r="I15" s="4" t="inlineStr"/>
    </row>
    <row r="16">
      <c r="A16" s="4" t="inlineStr">
        <is>
          <t>GV_SH_01</t>
        </is>
      </c>
      <c r="B16" s="4" t="inlineStr">
        <is>
          <t>B?i Th? Mai</t>
        </is>
      </c>
      <c r="C16" s="4" t="inlineStr">
        <is>
          <t>T? KHTN</t>
        </is>
      </c>
      <c r="D16" s="4" t="inlineStr">
        <is>
          <t>SH</t>
        </is>
      </c>
      <c r="E16" s="4" t="inlineStr">
        <is>
          <t>?ang d?y</t>
        </is>
      </c>
      <c r="F16" s="4" t="n">
        <v>17</v>
      </c>
      <c r="G16" s="4" t="n">
        <v>0</v>
      </c>
      <c r="H16" s="4" t="n">
        <v>17</v>
      </c>
      <c r="I16" s="4" t="inlineStr"/>
    </row>
    <row r="17">
      <c r="A17" s="4" t="inlineStr">
        <is>
          <t>GV_CN_01</t>
        </is>
      </c>
      <c r="B17" s="4" t="inlineStr">
        <is>
          <t>Nguy?n H?u Ph?c</t>
        </is>
      </c>
      <c r="C17" s="4" t="inlineStr">
        <is>
          <t>T? C?ng ngh?</t>
        </is>
      </c>
      <c r="D17" s="4" t="inlineStr">
        <is>
          <t>CN</t>
        </is>
      </c>
      <c r="E17" s="4" t="inlineStr">
        <is>
          <t>?ang d?y</t>
        </is>
      </c>
      <c r="F17" s="4" t="n">
        <v>17</v>
      </c>
      <c r="G17" s="4" t="n">
        <v>0</v>
      </c>
      <c r="H17" s="4" t="n">
        <v>17</v>
      </c>
      <c r="I17" s="4" t="inlineStr"/>
    </row>
    <row r="18">
      <c r="A18" s="4" t="inlineStr">
        <is>
          <t>GV_TH_01</t>
        </is>
      </c>
      <c r="B18" s="4" t="inlineStr">
        <is>
          <t>Ph?m ??c Anh</t>
        </is>
      </c>
      <c r="C18" s="4" t="inlineStr">
        <is>
          <t>T? To?n - Tin</t>
        </is>
      </c>
      <c r="D18" s="4" t="inlineStr">
        <is>
          <t>TH</t>
        </is>
      </c>
      <c r="E18" s="4" t="inlineStr">
        <is>
          <t>?ang d?y</t>
        </is>
      </c>
      <c r="F18" s="4" t="n">
        <v>17</v>
      </c>
      <c r="G18" s="4" t="n">
        <v>0</v>
      </c>
      <c r="H18" s="4" t="n">
        <v>17</v>
      </c>
      <c r="I18" s="4" t="inlineStr"/>
    </row>
    <row r="19">
      <c r="A19" s="4" t="inlineStr">
        <is>
          <t>GV_TH_02</t>
        </is>
      </c>
      <c r="B19" s="4" t="inlineStr">
        <is>
          <t>L? Minh T?m</t>
        </is>
      </c>
      <c r="C19" s="4" t="inlineStr">
        <is>
          <t>T? To?n - Tin</t>
        </is>
      </c>
      <c r="D19" s="4" t="inlineStr">
        <is>
          <t>TH</t>
        </is>
      </c>
      <c r="E19" s="4" t="inlineStr">
        <is>
          <t>?ang d?y</t>
        </is>
      </c>
      <c r="F19" s="4" t="n">
        <v>17</v>
      </c>
      <c r="G19" s="4" t="n">
        <v>0</v>
      </c>
      <c r="H19" s="4" t="n">
        <v>17</v>
      </c>
      <c r="I19" s="4" t="inlineStr"/>
    </row>
    <row r="20">
      <c r="A20" s="4" t="inlineStr">
        <is>
          <t>GV_GDTC_01</t>
        </is>
      </c>
      <c r="B20" s="4" t="inlineStr">
        <is>
          <t>Ph?m V?n D?ng</t>
        </is>
      </c>
      <c r="C20" s="4" t="inlineStr">
        <is>
          <t>T? Th? ch?t - QPAN</t>
        </is>
      </c>
      <c r="D20" s="4" t="inlineStr">
        <is>
          <t>GDTC</t>
        </is>
      </c>
      <c r="E20" s="4" t="inlineStr">
        <is>
          <t>?ang d?y</t>
        </is>
      </c>
      <c r="F20" s="4" t="n">
        <v>17</v>
      </c>
      <c r="G20" s="4" t="n">
        <v>0</v>
      </c>
      <c r="H20" s="4" t="n">
        <v>17</v>
      </c>
      <c r="I20" s="4" t="inlineStr"/>
    </row>
    <row r="21">
      <c r="A21" s="4" t="inlineStr">
        <is>
          <t>GV_QPAN_01</t>
        </is>
      </c>
      <c r="B21" s="4" t="inlineStr">
        <is>
          <t>Nguy?n Qu?c Vi?t</t>
        </is>
      </c>
      <c r="C21" s="4" t="inlineStr">
        <is>
          <t>T? Th? ch?t - QPAN</t>
        </is>
      </c>
      <c r="D21" s="4" t="inlineStr">
        <is>
          <t>GDQPAN</t>
        </is>
      </c>
      <c r="E21" s="4" t="inlineStr">
        <is>
          <t>?ang d?y</t>
        </is>
      </c>
      <c r="F21" s="4" t="n">
        <v>17</v>
      </c>
      <c r="G21" s="4" t="n">
        <v>0</v>
      </c>
      <c r="H21" s="4" t="n">
        <v>17</v>
      </c>
      <c r="I21" s="4" t="inlineStr"/>
    </row>
    <row r="22">
      <c r="A22" s="4" t="inlineStr">
        <is>
          <t>GV_AN_01</t>
        </is>
      </c>
      <c r="B22" s="4" t="inlineStr">
        <is>
          <t>D??ng Thu Th?o</t>
        </is>
      </c>
      <c r="C22" s="4" t="inlineStr">
        <is>
          <t>T? Ngh? thu?t</t>
        </is>
      </c>
      <c r="D22" s="4" t="inlineStr">
        <is>
          <t>AN</t>
        </is>
      </c>
      <c r="E22" s="4" t="inlineStr">
        <is>
          <t>?ang d?y</t>
        </is>
      </c>
      <c r="F22" s="4" t="n">
        <v>17</v>
      </c>
      <c r="G22" s="4" t="n">
        <v>0</v>
      </c>
      <c r="H22" s="4" t="n">
        <v>17</v>
      </c>
      <c r="I22" s="4" t="inlineStr"/>
    </row>
    <row r="23">
      <c r="A23" s="4" t="inlineStr">
        <is>
          <t>GV_MT_01</t>
        </is>
      </c>
      <c r="B23" s="4" t="inlineStr">
        <is>
          <t>L? Minh Ch?u</t>
        </is>
      </c>
      <c r="C23" s="4" t="inlineStr">
        <is>
          <t>T? Ngh? thu?t</t>
        </is>
      </c>
      <c r="D23" s="4" t="inlineStr">
        <is>
          <t>MT</t>
        </is>
      </c>
      <c r="E23" s="4" t="inlineStr">
        <is>
          <t>?ang d?y</t>
        </is>
      </c>
      <c r="F23" s="4" t="n">
        <v>17</v>
      </c>
      <c r="G23" s="4" t="n">
        <v>0</v>
      </c>
      <c r="H23" s="4" t="n">
        <v>17</v>
      </c>
      <c r="I23" s="4" t="inlineStr"/>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showGridLines="1" workbookViewId="0">
      <pane ySplit="2" topLeftCell="A3" activePane="bottomLeft" state="frozen"/>
      <selection pane="bottomLeft" activeCell="A1" sqref="A1"/>
    </sheetView>
  </sheetViews>
  <sheetFormatPr baseColWidth="8" defaultRowHeight="15"/>
  <cols>
    <col width="12" customWidth="1" min="1" max="1"/>
    <col width="10" customWidth="1" min="2" max="2"/>
    <col width="10" customWidth="1" min="3" max="3"/>
    <col width="12" customWidth="1" min="4" max="4"/>
    <col width="12" customWidth="1" min="5" max="5"/>
    <col width="14" customWidth="1" min="6" max="6"/>
    <col width="24" customWidth="1" min="7" max="7"/>
    <col width="28" customWidth="1" min="8" max="8"/>
  </cols>
  <sheetData>
    <row r="1">
      <c r="A1" s="1" t="inlineStr">
        <is>
          <t>Danh m?c l?p</t>
        </is>
      </c>
    </row>
    <row r="2">
      <c r="A2" s="3" t="inlineStr">
        <is>
          <t>L?p</t>
        </is>
      </c>
      <c r="B2" s="3" t="inlineStr">
        <is>
          <t>Kh?i</t>
        </is>
      </c>
      <c r="C2" s="3" t="inlineStr">
        <is>
          <t>S?_s?</t>
        </is>
      </c>
      <c r="D2" s="3" t="inlineStr">
        <is>
          <t>Bu?i_h?c</t>
        </is>
      </c>
      <c r="E2" s="3" t="inlineStr">
        <is>
          <t>M?_t?_h?p</t>
        </is>
      </c>
      <c r="F2" s="3" t="inlineStr">
        <is>
          <t>GVCN_M?</t>
        </is>
      </c>
      <c r="G2" s="3" t="inlineStr">
        <is>
          <t>GVCN_H?_t?n</t>
        </is>
      </c>
      <c r="H2" s="3" t="inlineStr">
        <is>
          <t>Ghi_ch?</t>
        </is>
      </c>
    </row>
    <row r="3">
      <c r="A3" s="4" t="inlineStr">
        <is>
          <t>10A1</t>
        </is>
      </c>
      <c r="B3" s="4" t="n">
        <v>10</v>
      </c>
      <c r="C3" s="4" t="n">
        <v>45</v>
      </c>
      <c r="D3" s="4" t="inlineStr">
        <is>
          <t>S?ng</t>
        </is>
      </c>
      <c r="E3" s="4" t="inlineStr">
        <is>
          <t>TH1</t>
        </is>
      </c>
      <c r="F3" s="4" t="inlineStr">
        <is>
          <t>GV_TOAN_01</t>
        </is>
      </c>
      <c r="G3" s="4" t="inlineStr">
        <is>
          <t>L? Quang Minh</t>
        </is>
      </c>
      <c r="H3" s="4" t="inlineStr"/>
    </row>
    <row r="4">
      <c r="A4" s="4" t="inlineStr">
        <is>
          <t>10A2</t>
        </is>
      </c>
      <c r="B4" s="4" t="n">
        <v>10</v>
      </c>
      <c r="C4" s="4" t="n">
        <v>44</v>
      </c>
      <c r="D4" s="4" t="inlineStr">
        <is>
          <t>S?ng</t>
        </is>
      </c>
      <c r="E4" s="4" t="inlineStr">
        <is>
          <t>TH1</t>
        </is>
      </c>
      <c r="F4" s="4" t="inlineStr">
        <is>
          <t>GV_NV_01</t>
        </is>
      </c>
      <c r="G4" s="4" t="inlineStr">
        <is>
          <t>Nguy?n Th? Lan</t>
        </is>
      </c>
      <c r="H4" s="4" t="inlineStr"/>
    </row>
    <row r="5">
      <c r="A5" s="4" t="inlineStr">
        <is>
          <t>10D1</t>
        </is>
      </c>
      <c r="B5" s="4" t="n">
        <v>10</v>
      </c>
      <c r="C5" s="4" t="n">
        <v>42</v>
      </c>
      <c r="D5" s="4" t="inlineStr">
        <is>
          <t>Chi?u</t>
        </is>
      </c>
      <c r="E5" s="4" t="inlineStr">
        <is>
          <t>TH3</t>
        </is>
      </c>
      <c r="F5" s="4" t="inlineStr">
        <is>
          <t>GV_GDKTPL_01</t>
        </is>
      </c>
      <c r="G5" s="4" t="inlineStr">
        <is>
          <t>L? Thu Ph??ng</t>
        </is>
      </c>
      <c r="H5" s="4" t="inlineStr"/>
    </row>
    <row r="6">
      <c r="A6" s="4" t="inlineStr">
        <is>
          <t>11A1</t>
        </is>
      </c>
      <c r="B6" s="4" t="n">
        <v>11</v>
      </c>
      <c r="C6" s="4" t="n">
        <v>43</v>
      </c>
      <c r="D6" s="4" t="inlineStr">
        <is>
          <t>S?ng</t>
        </is>
      </c>
      <c r="E6" s="4" t="inlineStr">
        <is>
          <t>TH5</t>
        </is>
      </c>
      <c r="F6" s="4" t="inlineStr">
        <is>
          <t>GV_VL_01</t>
        </is>
      </c>
      <c r="G6" s="4" t="inlineStr">
        <is>
          <t>Phan Qu?c B?o</t>
        </is>
      </c>
      <c r="H6" s="4" t="inlineStr"/>
    </row>
    <row r="7">
      <c r="A7" s="4" t="inlineStr">
        <is>
          <t>11D1</t>
        </is>
      </c>
      <c r="B7" s="4" t="n">
        <v>11</v>
      </c>
      <c r="C7" s="4" t="n">
        <v>41</v>
      </c>
      <c r="D7" s="4" t="inlineStr">
        <is>
          <t>Chi?u</t>
        </is>
      </c>
      <c r="E7" s="4" t="inlineStr">
        <is>
          <t>TH3</t>
        </is>
      </c>
      <c r="F7" s="4" t="inlineStr">
        <is>
          <t>GV_NV_02</t>
        </is>
      </c>
      <c r="G7" s="4" t="inlineStr">
        <is>
          <t>Ph?m Thu H?</t>
        </is>
      </c>
      <c r="H7" s="4" t="inlineStr"/>
    </row>
    <row r="8">
      <c r="A8" s="4" t="inlineStr">
        <is>
          <t>12A1</t>
        </is>
      </c>
      <c r="B8" s="4" t="n">
        <v>12</v>
      </c>
      <c r="C8" s="4" t="n">
        <v>40</v>
      </c>
      <c r="D8" s="4" t="inlineStr">
        <is>
          <t>S?ng</t>
        </is>
      </c>
      <c r="E8" s="4" t="inlineStr">
        <is>
          <t>TH5</t>
        </is>
      </c>
      <c r="F8" s="4" t="inlineStr">
        <is>
          <t>GV_TOAN_02</t>
        </is>
      </c>
      <c r="G8" s="4" t="inlineStr">
        <is>
          <t>V? Th? H??ng</t>
        </is>
      </c>
      <c r="H8" s="4" t="inlineStr"/>
    </row>
    <row r="9">
      <c r="A9" s="4" t="inlineStr">
        <is>
          <t>12D1</t>
        </is>
      </c>
      <c r="B9" s="4" t="n">
        <v>12</v>
      </c>
      <c r="C9" s="4" t="n">
        <v>39</v>
      </c>
      <c r="D9" s="4" t="inlineStr">
        <is>
          <t>Chi?u</t>
        </is>
      </c>
      <c r="E9" s="4" t="inlineStr">
        <is>
          <t>TH6</t>
        </is>
      </c>
      <c r="F9" s="4" t="inlineStr">
        <is>
          <t>GV_LS_01</t>
        </is>
      </c>
      <c r="G9" s="4" t="inlineStr">
        <is>
          <t>??ng Th? H?a</t>
        </is>
      </c>
      <c r="H9" s="4" t="inlineStr"/>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showGridLines="1" workbookViewId="0">
      <pane ySplit="2" topLeftCell="A3" activePane="bottomLeft" state="frozen"/>
      <selection pane="bottomLeft" activeCell="A1" sqref="A1"/>
    </sheetView>
  </sheetViews>
  <sheetFormatPr baseColWidth="8" defaultRowHeight="15"/>
  <cols>
    <col width="12" customWidth="1" min="1" max="1"/>
    <col width="8" customWidth="1" min="2" max="2"/>
    <col width="12" customWidth="1" min="3" max="3"/>
    <col width="12" customWidth="1" min="4" max="4"/>
    <col width="12" customWidth="1" min="5" max="5"/>
    <col width="12" customWidth="1" min="6" max="6"/>
    <col width="16" customWidth="1" min="7" max="7"/>
    <col width="16" customWidth="1" min="8" max="8"/>
    <col width="16" customWidth="1" min="9" max="9"/>
    <col width="30" customWidth="1" min="10" max="10"/>
  </cols>
  <sheetData>
    <row r="1">
      <c r="A1" s="1" t="inlineStr">
        <is>
          <t>Danh m?c t? h?p m?n l?a ch?n v? c?m chuy?n ??</t>
        </is>
      </c>
    </row>
    <row r="2">
      <c r="A2" s="3" t="inlineStr">
        <is>
          <t>M?_t?_h?p</t>
        </is>
      </c>
      <c r="B2" s="3" t="inlineStr">
        <is>
          <t>Kh?i</t>
        </is>
      </c>
      <c r="C2" s="3" t="inlineStr">
        <is>
          <t>M?n_1</t>
        </is>
      </c>
      <c r="D2" s="3" t="inlineStr">
        <is>
          <t>M?n_2</t>
        </is>
      </c>
      <c r="E2" s="3" t="inlineStr">
        <is>
          <t>M?n_3</t>
        </is>
      </c>
      <c r="F2" s="3" t="inlineStr">
        <is>
          <t>M?n_4</t>
        </is>
      </c>
      <c r="G2" s="3" t="inlineStr">
        <is>
          <t>Chuy?n_??_1</t>
        </is>
      </c>
      <c r="H2" s="3" t="inlineStr">
        <is>
          <t>Chuy?n_??_2</t>
        </is>
      </c>
      <c r="I2" s="3" t="inlineStr">
        <is>
          <t>Chuy?n_??_3</t>
        </is>
      </c>
      <c r="J2" s="3" t="inlineStr">
        <is>
          <t>Ghi_ch?</t>
        </is>
      </c>
    </row>
    <row r="3">
      <c r="A3" s="4" t="inlineStr">
        <is>
          <t>TH1</t>
        </is>
      </c>
      <c r="B3" s="4" t="n">
        <v>10</v>
      </c>
      <c r="C3" s="4" t="inlineStr">
        <is>
          <t>VL</t>
        </is>
      </c>
      <c r="D3" s="4" t="inlineStr">
        <is>
          <t>HH</t>
        </is>
      </c>
      <c r="E3" s="4" t="inlineStr">
        <is>
          <t>SH</t>
        </is>
      </c>
      <c r="F3" s="4" t="inlineStr">
        <is>
          <t>TH</t>
        </is>
      </c>
      <c r="G3" s="4" t="inlineStr">
        <is>
          <t>CD_TOAN</t>
        </is>
      </c>
      <c r="H3" s="4" t="inlineStr">
        <is>
          <t>CD_VL</t>
        </is>
      </c>
      <c r="I3" s="4" t="inlineStr">
        <is>
          <t>CD_HH</t>
        </is>
      </c>
      <c r="J3" s="4" t="inlineStr">
        <is>
          <t>T? h?p thi?n KHTN</t>
        </is>
      </c>
    </row>
    <row r="4">
      <c r="A4" s="4" t="inlineStr">
        <is>
          <t>TH3</t>
        </is>
      </c>
      <c r="B4" s="4" t="n">
        <v>10</v>
      </c>
      <c r="C4" s="4" t="inlineStr">
        <is>
          <t>DL</t>
        </is>
      </c>
      <c r="D4" s="4" t="inlineStr">
        <is>
          <t>GDKTPL</t>
        </is>
      </c>
      <c r="E4" s="4" t="inlineStr">
        <is>
          <t>TH</t>
        </is>
      </c>
      <c r="F4" s="4" t="inlineStr">
        <is>
          <t>CN</t>
        </is>
      </c>
      <c r="G4" s="4" t="inlineStr">
        <is>
          <t>CD_NV</t>
        </is>
      </c>
      <c r="H4" s="4" t="inlineStr">
        <is>
          <t>CD_DL</t>
        </is>
      </c>
      <c r="I4" s="4" t="inlineStr">
        <is>
          <t>CD_GDKTPL</t>
        </is>
      </c>
      <c r="J4" s="4" t="inlineStr">
        <is>
          <t>T? h?p KHXH - c?ng ngh?</t>
        </is>
      </c>
    </row>
    <row r="5">
      <c r="A5" s="4" t="inlineStr">
        <is>
          <t>TH5</t>
        </is>
      </c>
      <c r="B5" s="4" t="n">
        <v>11</v>
      </c>
      <c r="C5" s="4" t="inlineStr">
        <is>
          <t>VL</t>
        </is>
      </c>
      <c r="D5" s="4" t="inlineStr">
        <is>
          <t>HH</t>
        </is>
      </c>
      <c r="E5" s="4" t="inlineStr">
        <is>
          <t>TH</t>
        </is>
      </c>
      <c r="F5" s="4" t="inlineStr">
        <is>
          <t>CN</t>
        </is>
      </c>
      <c r="G5" s="4" t="inlineStr">
        <is>
          <t>CD_TOAN</t>
        </is>
      </c>
      <c r="H5" s="4" t="inlineStr">
        <is>
          <t>CD_VL</t>
        </is>
      </c>
      <c r="I5" s="4" t="inlineStr">
        <is>
          <t>CD_CN</t>
        </is>
      </c>
      <c r="J5" s="4" t="inlineStr">
        <is>
          <t>T? h?p l?p 11 thi?n STEM</t>
        </is>
      </c>
    </row>
    <row r="6">
      <c r="A6" s="4" t="inlineStr">
        <is>
          <t>TH6</t>
        </is>
      </c>
      <c r="B6" s="4" t="n">
        <v>12</v>
      </c>
      <c r="C6" s="4" t="inlineStr">
        <is>
          <t>DL</t>
        </is>
      </c>
      <c r="D6" s="4" t="inlineStr">
        <is>
          <t>GDKTPL</t>
        </is>
      </c>
      <c r="E6" s="4" t="inlineStr">
        <is>
          <t>TH</t>
        </is>
      </c>
      <c r="F6" s="4" t="inlineStr">
        <is>
          <t>CN</t>
        </is>
      </c>
      <c r="G6" s="4" t="inlineStr">
        <is>
          <t>CD_NV</t>
        </is>
      </c>
      <c r="H6" s="4" t="inlineStr">
        <is>
          <t>CD_DL</t>
        </is>
      </c>
      <c r="I6" s="4" t="inlineStr">
        <is>
          <t>CD_GDKTPL</t>
        </is>
      </c>
      <c r="J6" s="4" t="inlineStr">
        <is>
          <t>T? h?p l?p 12 ??nh h??ng x? h?i</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07"/>
  <sheetViews>
    <sheetView showGridLines="1" workbookViewId="0">
      <pane ySplit="2" topLeftCell="A3" activePane="bottomLeft" state="frozen"/>
      <selection pane="bottomLeft" activeCell="A1" sqref="A1"/>
    </sheetView>
  </sheetViews>
  <sheetFormatPr baseColWidth="8" defaultRowHeight="15"/>
  <cols>
    <col width="8" customWidth="1" min="1" max="1"/>
    <col width="12" customWidth="1" min="2" max="2"/>
    <col width="8" customWidth="1" min="3" max="3"/>
    <col width="10" customWidth="1" min="4" max="4"/>
    <col width="12" customWidth="1" min="5" max="5"/>
    <col width="12" customWidth="1" min="6" max="6"/>
    <col width="30" customWidth="1" min="7" max="7"/>
    <col width="14" customWidth="1" min="8" max="8"/>
    <col width="12" customWidth="1" min="9" max="9"/>
    <col width="10" customWidth="1" min="10" max="10"/>
    <col width="10" customWidth="1" min="11" max="11"/>
    <col width="14" customWidth="1" min="12" max="12"/>
    <col width="24" customWidth="1" min="13" max="13"/>
    <col width="14" customWidth="1" min="14" max="14"/>
    <col width="14" customWidth="1" min="15" max="15"/>
    <col width="24" customWidth="1" min="16" max="16"/>
    <col width="14" customWidth="1" min="17" max="17"/>
    <col width="28" customWidth="1" min="18" max="18"/>
  </cols>
  <sheetData>
    <row r="1">
      <c r="A1" s="1" t="inlineStr">
        <is>
          <t>B?ng ph?n c?ng gi?ng d?y m?n h?c - gi?o vi?n THPT (d? li?u m?u)</t>
        </is>
      </c>
    </row>
    <row r="2">
      <c r="A2" s="3" t="inlineStr">
        <is>
          <t>STT</t>
        </is>
      </c>
      <c r="B2" s="3" t="inlineStr">
        <is>
          <t>N?m_h?c</t>
        </is>
      </c>
      <c r="C2" s="3" t="inlineStr">
        <is>
          <t>Kh?i</t>
        </is>
      </c>
      <c r="D2" s="3" t="inlineStr">
        <is>
          <t>L?p</t>
        </is>
      </c>
      <c r="E2" s="3" t="inlineStr">
        <is>
          <t>M?_t?_h?p</t>
        </is>
      </c>
      <c r="F2" s="3" t="inlineStr">
        <is>
          <t>M?_m?n</t>
        </is>
      </c>
      <c r="G2" s="3" t="inlineStr">
        <is>
          <t>T?n_m?n</t>
        </is>
      </c>
      <c r="H2" s="3" t="inlineStr">
        <is>
          <t>Nh?m_CT</t>
        </is>
      </c>
      <c r="I2" s="3" t="inlineStr">
        <is>
          <t>Ti?t_n?m_CT</t>
        </is>
      </c>
      <c r="J2" s="3" t="inlineStr">
        <is>
          <t>Ti?t_HK1</t>
        </is>
      </c>
      <c r="K2" s="3" t="inlineStr">
        <is>
          <t>Ti?t_HK2</t>
        </is>
      </c>
      <c r="L2" s="3" t="inlineStr">
        <is>
          <t>GV_HK1_M?</t>
        </is>
      </c>
      <c r="M2" s="3" t="inlineStr">
        <is>
          <t>GV_HK1_H?_t?n</t>
        </is>
      </c>
      <c r="N2" s="3" t="inlineStr">
        <is>
          <t>GV_HK1_??nh_m?c</t>
        </is>
      </c>
      <c r="O2" s="3" t="inlineStr">
        <is>
          <t>GV_HK2_M?</t>
        </is>
      </c>
      <c r="P2" s="3" t="inlineStr">
        <is>
          <t>GV_HK2_H?_t?n</t>
        </is>
      </c>
      <c r="Q2" s="3" t="inlineStr">
        <is>
          <t>GV_HK2_??nh_m?c</t>
        </is>
      </c>
      <c r="R2" s="3" t="inlineStr">
        <is>
          <t>Ghi_ch?</t>
        </is>
      </c>
    </row>
    <row r="3">
      <c r="A3" s="4" t="n">
        <v>1</v>
      </c>
      <c r="B3" s="4" t="inlineStr">
        <is>
          <t>2026-2027</t>
        </is>
      </c>
      <c r="C3" s="4" t="n">
        <v>10</v>
      </c>
      <c r="D3" s="4" t="inlineStr">
        <is>
          <t>10A1</t>
        </is>
      </c>
      <c r="E3" s="4" t="inlineStr">
        <is>
          <t>TH1</t>
        </is>
      </c>
      <c r="F3" s="4" t="inlineStr">
        <is>
          <t>NV</t>
        </is>
      </c>
      <c r="G3" s="4" t="inlineStr">
        <is>
          <t>Ng? v?n</t>
        </is>
      </c>
      <c r="H3" s="4" t="inlineStr">
        <is>
          <t>B?t bu?c</t>
        </is>
      </c>
      <c r="I3" s="4" t="n">
        <v>105</v>
      </c>
      <c r="J3" s="4" t="n">
        <v>54</v>
      </c>
      <c r="K3" s="4" t="n">
        <v>51</v>
      </c>
      <c r="L3" s="4" t="inlineStr">
        <is>
          <t>GV_NV_01</t>
        </is>
      </c>
      <c r="M3" s="4" t="inlineStr">
        <is>
          <t>Nguy?n Th? Lan</t>
        </is>
      </c>
      <c r="N3" s="4" t="n">
        <v>17</v>
      </c>
      <c r="O3" s="4" t="inlineStr">
        <is>
          <t>GV_NV_01</t>
        </is>
      </c>
      <c r="P3" s="4" t="inlineStr">
        <is>
          <t>Nguy?n Th? Lan</t>
        </is>
      </c>
      <c r="Q3" s="4" t="n">
        <v>17</v>
      </c>
      <c r="R3" s="4" t="inlineStr"/>
    </row>
    <row r="4">
      <c r="A4" s="4" t="n">
        <v>2</v>
      </c>
      <c r="B4" s="4" t="inlineStr">
        <is>
          <t>2026-2027</t>
        </is>
      </c>
      <c r="C4" s="4" t="n">
        <v>10</v>
      </c>
      <c r="D4" s="4" t="inlineStr">
        <is>
          <t>10A1</t>
        </is>
      </c>
      <c r="E4" s="4" t="inlineStr">
        <is>
          <t>TH1</t>
        </is>
      </c>
      <c r="F4" s="4" t="inlineStr">
        <is>
          <t>TOAN</t>
        </is>
      </c>
      <c r="G4" s="4" t="inlineStr">
        <is>
          <t>To?n</t>
        </is>
      </c>
      <c r="H4" s="4" t="inlineStr">
        <is>
          <t>B?t bu?c</t>
        </is>
      </c>
      <c r="I4" s="4" t="n">
        <v>105</v>
      </c>
      <c r="J4" s="4" t="n">
        <v>54</v>
      </c>
      <c r="K4" s="4" t="n">
        <v>51</v>
      </c>
      <c r="L4" s="4" t="inlineStr">
        <is>
          <t>GV_TOAN_01</t>
        </is>
      </c>
      <c r="M4" s="4" t="inlineStr">
        <is>
          <t>L? Quang Minh</t>
        </is>
      </c>
      <c r="N4" s="4" t="n">
        <v>17</v>
      </c>
      <c r="O4" s="4" t="inlineStr">
        <is>
          <t>GV_TOAN_01</t>
        </is>
      </c>
      <c r="P4" s="4" t="inlineStr">
        <is>
          <t>L? Quang Minh</t>
        </is>
      </c>
      <c r="Q4" s="4" t="n">
        <v>17</v>
      </c>
      <c r="R4" s="4" t="inlineStr"/>
    </row>
    <row r="5">
      <c r="A5" s="4" t="n">
        <v>3</v>
      </c>
      <c r="B5" s="4" t="inlineStr">
        <is>
          <t>2026-2027</t>
        </is>
      </c>
      <c r="C5" s="4" t="n">
        <v>10</v>
      </c>
      <c r="D5" s="4" t="inlineStr">
        <is>
          <t>10A1</t>
        </is>
      </c>
      <c r="E5" s="4" t="inlineStr">
        <is>
          <t>TH1</t>
        </is>
      </c>
      <c r="F5" s="4" t="inlineStr">
        <is>
          <t>ANH</t>
        </is>
      </c>
      <c r="G5" s="4" t="inlineStr">
        <is>
          <t>Ngo?i ng? 1</t>
        </is>
      </c>
      <c r="H5" s="4" t="inlineStr">
        <is>
          <t>B?t bu?c</t>
        </is>
      </c>
      <c r="I5" s="4" t="n">
        <v>105</v>
      </c>
      <c r="J5" s="4" t="n">
        <v>54</v>
      </c>
      <c r="K5" s="4" t="n">
        <v>51</v>
      </c>
      <c r="L5" s="4" t="inlineStr">
        <is>
          <t>GV_ANH_01</t>
        </is>
      </c>
      <c r="M5" s="4" t="inlineStr">
        <is>
          <t>Tr?n Ho?i An</t>
        </is>
      </c>
      <c r="N5" s="4" t="n">
        <v>17</v>
      </c>
      <c r="O5" s="4" t="inlineStr">
        <is>
          <t>GV_ANH_01</t>
        </is>
      </c>
      <c r="P5" s="4" t="inlineStr">
        <is>
          <t>Tr?n Ho?i An</t>
        </is>
      </c>
      <c r="Q5" s="4" t="n">
        <v>17</v>
      </c>
      <c r="R5" s="4" t="inlineStr"/>
    </row>
    <row r="6">
      <c r="A6" s="4" t="n">
        <v>4</v>
      </c>
      <c r="B6" s="4" t="inlineStr">
        <is>
          <t>2026-2027</t>
        </is>
      </c>
      <c r="C6" s="4" t="n">
        <v>10</v>
      </c>
      <c r="D6" s="4" t="inlineStr">
        <is>
          <t>10A1</t>
        </is>
      </c>
      <c r="E6" s="4" t="inlineStr">
        <is>
          <t>TH1</t>
        </is>
      </c>
      <c r="F6" s="4" t="inlineStr">
        <is>
          <t>LS</t>
        </is>
      </c>
      <c r="G6" s="4" t="inlineStr">
        <is>
          <t>L?ch s?</t>
        </is>
      </c>
      <c r="H6" s="4" t="inlineStr">
        <is>
          <t>B?t bu?c</t>
        </is>
      </c>
      <c r="I6" s="4" t="n">
        <v>52</v>
      </c>
      <c r="J6" s="4" t="n">
        <v>27</v>
      </c>
      <c r="K6" s="4" t="n">
        <v>25</v>
      </c>
      <c r="L6" s="4" t="inlineStr">
        <is>
          <t>GV_LS_01</t>
        </is>
      </c>
      <c r="M6" s="4" t="inlineStr">
        <is>
          <t>??ng Th? H?a</t>
        </is>
      </c>
      <c r="N6" s="4" t="n">
        <v>17</v>
      </c>
      <c r="O6" s="4" t="inlineStr">
        <is>
          <t>GV_LS_01</t>
        </is>
      </c>
      <c r="P6" s="4" t="inlineStr">
        <is>
          <t>??ng Th? H?a</t>
        </is>
      </c>
      <c r="Q6" s="4" t="n">
        <v>17</v>
      </c>
      <c r="R6" s="4" t="inlineStr"/>
    </row>
    <row r="7">
      <c r="A7" s="4" t="n">
        <v>5</v>
      </c>
      <c r="B7" s="4" t="inlineStr">
        <is>
          <t>2026-2027</t>
        </is>
      </c>
      <c r="C7" s="4" t="n">
        <v>10</v>
      </c>
      <c r="D7" s="4" t="inlineStr">
        <is>
          <t>10A1</t>
        </is>
      </c>
      <c r="E7" s="4" t="inlineStr">
        <is>
          <t>TH1</t>
        </is>
      </c>
      <c r="F7" s="4" t="inlineStr">
        <is>
          <t>GDTC</t>
        </is>
      </c>
      <c r="G7" s="4" t="inlineStr">
        <is>
          <t>Gi?o d?c th? ch?t</t>
        </is>
      </c>
      <c r="H7" s="4" t="inlineStr">
        <is>
          <t>B?t bu?c</t>
        </is>
      </c>
      <c r="I7" s="4" t="n">
        <v>70</v>
      </c>
      <c r="J7" s="4" t="n">
        <v>36</v>
      </c>
      <c r="K7" s="4" t="n">
        <v>34</v>
      </c>
      <c r="L7" s="4" t="inlineStr">
        <is>
          <t>GV_GDTC_01</t>
        </is>
      </c>
      <c r="M7" s="4" t="inlineStr">
        <is>
          <t>Ph?m V?n D?ng</t>
        </is>
      </c>
      <c r="N7" s="4" t="n">
        <v>17</v>
      </c>
      <c r="O7" s="4" t="inlineStr">
        <is>
          <t>GV_GDTC_01</t>
        </is>
      </c>
      <c r="P7" s="4" t="inlineStr">
        <is>
          <t>Ph?m V?n D?ng</t>
        </is>
      </c>
      <c r="Q7" s="4" t="n">
        <v>17</v>
      </c>
      <c r="R7" s="4" t="inlineStr"/>
    </row>
    <row r="8">
      <c r="A8" s="4" t="n">
        <v>6</v>
      </c>
      <c r="B8" s="4" t="inlineStr">
        <is>
          <t>2026-2027</t>
        </is>
      </c>
      <c r="C8" s="4" t="n">
        <v>10</v>
      </c>
      <c r="D8" s="4" t="inlineStr">
        <is>
          <t>10A1</t>
        </is>
      </c>
      <c r="E8" s="4" t="inlineStr">
        <is>
          <t>TH1</t>
        </is>
      </c>
      <c r="F8" s="4" t="inlineStr">
        <is>
          <t>GDQPAN</t>
        </is>
      </c>
      <c r="G8" s="4" t="inlineStr">
        <is>
          <t>Gi?o d?c qu?c ph?ng v? an ninh</t>
        </is>
      </c>
      <c r="H8" s="4" t="inlineStr">
        <is>
          <t>B?t bu?c</t>
        </is>
      </c>
      <c r="I8" s="4" t="n">
        <v>35</v>
      </c>
      <c r="J8" s="4" t="n">
        <v>18</v>
      </c>
      <c r="K8" s="4" t="n">
        <v>17</v>
      </c>
      <c r="L8" s="4" t="inlineStr">
        <is>
          <t>GV_QPAN_01</t>
        </is>
      </c>
      <c r="M8" s="4" t="inlineStr">
        <is>
          <t>Nguy?n Qu?c Vi?t</t>
        </is>
      </c>
      <c r="N8" s="4" t="n">
        <v>17</v>
      </c>
      <c r="O8" s="4" t="inlineStr">
        <is>
          <t>GV_QPAN_01</t>
        </is>
      </c>
      <c r="P8" s="4" t="inlineStr">
        <is>
          <t>Nguy?n Qu?c Vi?t</t>
        </is>
      </c>
      <c r="Q8" s="4" t="n">
        <v>17</v>
      </c>
      <c r="R8" s="4" t="inlineStr"/>
    </row>
    <row r="9">
      <c r="A9" s="4" t="n">
        <v>7</v>
      </c>
      <c r="B9" s="4" t="inlineStr">
        <is>
          <t>2026-2027</t>
        </is>
      </c>
      <c r="C9" s="4" t="n">
        <v>10</v>
      </c>
      <c r="D9" s="4" t="inlineStr">
        <is>
          <t>10A1</t>
        </is>
      </c>
      <c r="E9" s="4" t="inlineStr">
        <is>
          <t>TH1</t>
        </is>
      </c>
      <c r="F9" s="4" t="inlineStr">
        <is>
          <t>HDTNHN</t>
        </is>
      </c>
      <c r="G9" s="4" t="inlineStr">
        <is>
          <t>Ho?t ??ng tr?i nghi?m, h??ng nghi?p</t>
        </is>
      </c>
      <c r="H9" s="4" t="inlineStr">
        <is>
          <t>B?t bu?c</t>
        </is>
      </c>
      <c r="I9" s="4" t="n">
        <v>105</v>
      </c>
      <c r="J9" s="4" t="n">
        <v>54</v>
      </c>
      <c r="K9" s="4" t="n">
        <v>51</v>
      </c>
      <c r="L9" s="4" t="inlineStr">
        <is>
          <t>GV_TOAN_01</t>
        </is>
      </c>
      <c r="M9" s="4" t="inlineStr">
        <is>
          <t>L? Quang Minh</t>
        </is>
      </c>
      <c r="N9" s="4" t="n">
        <v>17</v>
      </c>
      <c r="O9" s="4" t="inlineStr">
        <is>
          <t>GV_TOAN_01</t>
        </is>
      </c>
      <c r="P9" s="4" t="inlineStr">
        <is>
          <t>L? Quang Minh</t>
        </is>
      </c>
      <c r="Q9" s="4" t="n">
        <v>17</v>
      </c>
      <c r="R9" s="4" t="inlineStr"/>
    </row>
    <row r="10">
      <c r="A10" s="4" t="n">
        <v>8</v>
      </c>
      <c r="B10" s="4" t="inlineStr">
        <is>
          <t>2026-2027</t>
        </is>
      </c>
      <c r="C10" s="4" t="n">
        <v>10</v>
      </c>
      <c r="D10" s="4" t="inlineStr">
        <is>
          <t>10A1</t>
        </is>
      </c>
      <c r="E10" s="4" t="inlineStr">
        <is>
          <t>TH1</t>
        </is>
      </c>
      <c r="F10" s="4" t="inlineStr">
        <is>
          <t>GDDP</t>
        </is>
      </c>
      <c r="G10" s="4" t="inlineStr">
        <is>
          <t>N?i dung gi?o d?c c?a ??a ph??ng</t>
        </is>
      </c>
      <c r="H10" s="4" t="inlineStr">
        <is>
          <t>B?t bu?c</t>
        </is>
      </c>
      <c r="I10" s="4" t="n">
        <v>35</v>
      </c>
      <c r="J10" s="4" t="n">
        <v>18</v>
      </c>
      <c r="K10" s="4" t="n">
        <v>17</v>
      </c>
      <c r="L10" s="4" t="inlineStr">
        <is>
          <t>GV_DL_01</t>
        </is>
      </c>
      <c r="M10" s="4" t="inlineStr">
        <is>
          <t>Ho?ng Ng?c S?n</t>
        </is>
      </c>
      <c r="N10" s="4" t="n">
        <v>17</v>
      </c>
      <c r="O10" s="4" t="inlineStr">
        <is>
          <t>GV_DL_01</t>
        </is>
      </c>
      <c r="P10" s="4" t="inlineStr">
        <is>
          <t>Ho?ng Ng?c S?n</t>
        </is>
      </c>
      <c r="Q10" s="4" t="n">
        <v>17</v>
      </c>
      <c r="R10" s="4" t="inlineStr"/>
    </row>
    <row r="11">
      <c r="A11" s="4" t="n">
        <v>9</v>
      </c>
      <c r="B11" s="4" t="inlineStr">
        <is>
          <t>2026-2027</t>
        </is>
      </c>
      <c r="C11" s="4" t="n">
        <v>10</v>
      </c>
      <c r="D11" s="4" t="inlineStr">
        <is>
          <t>10A1</t>
        </is>
      </c>
      <c r="E11" s="4" t="inlineStr">
        <is>
          <t>TH1</t>
        </is>
      </c>
      <c r="F11" s="4" t="inlineStr">
        <is>
          <t>VL</t>
        </is>
      </c>
      <c r="G11" s="4" t="inlineStr">
        <is>
          <t>V?t l?</t>
        </is>
      </c>
      <c r="H11" s="4" t="inlineStr">
        <is>
          <t>L?a ch?n</t>
        </is>
      </c>
      <c r="I11" s="4" t="n">
        <v>70</v>
      </c>
      <c r="J11" s="4" t="n">
        <v>36</v>
      </c>
      <c r="K11" s="4" t="n">
        <v>34</v>
      </c>
      <c r="L11" s="4" t="inlineStr">
        <is>
          <t>GV_VL_01</t>
        </is>
      </c>
      <c r="M11" s="4" t="inlineStr">
        <is>
          <t>Phan Qu?c B?o</t>
        </is>
      </c>
      <c r="N11" s="4" t="n">
        <v>17</v>
      </c>
      <c r="O11" s="4" t="inlineStr">
        <is>
          <t>GV_VL_01</t>
        </is>
      </c>
      <c r="P11" s="4" t="inlineStr">
        <is>
          <t>Phan Qu?c B?o</t>
        </is>
      </c>
      <c r="Q11" s="4" t="n">
        <v>17</v>
      </c>
      <c r="R11" s="4" t="inlineStr"/>
    </row>
    <row r="12">
      <c r="A12" s="4" t="n">
        <v>10</v>
      </c>
      <c r="B12" s="4" t="inlineStr">
        <is>
          <t>2026-2027</t>
        </is>
      </c>
      <c r="C12" s="4" t="n">
        <v>10</v>
      </c>
      <c r="D12" s="4" t="inlineStr">
        <is>
          <t>10A1</t>
        </is>
      </c>
      <c r="E12" s="4" t="inlineStr">
        <is>
          <t>TH1</t>
        </is>
      </c>
      <c r="F12" s="4" t="inlineStr">
        <is>
          <t>HH</t>
        </is>
      </c>
      <c r="G12" s="4" t="inlineStr">
        <is>
          <t>H?a h?c</t>
        </is>
      </c>
      <c r="H12" s="4" t="inlineStr">
        <is>
          <t>L?a ch?n</t>
        </is>
      </c>
      <c r="I12" s="4" t="n">
        <v>70</v>
      </c>
      <c r="J12" s="4" t="n">
        <v>36</v>
      </c>
      <c r="K12" s="4" t="n">
        <v>34</v>
      </c>
      <c r="L12" s="4" t="inlineStr">
        <is>
          <t>GV_HH_01</t>
        </is>
      </c>
      <c r="M12" s="4" t="inlineStr">
        <is>
          <t>Tr?nh Thu Trang</t>
        </is>
      </c>
      <c r="N12" s="4" t="n">
        <v>17</v>
      </c>
      <c r="O12" s="4" t="inlineStr">
        <is>
          <t>GV_HH_01</t>
        </is>
      </c>
      <c r="P12" s="4" t="inlineStr">
        <is>
          <t>Tr?nh Thu Trang</t>
        </is>
      </c>
      <c r="Q12" s="4" t="n">
        <v>17</v>
      </c>
      <c r="R12" s="4" t="inlineStr"/>
    </row>
    <row r="13">
      <c r="A13" s="4" t="n">
        <v>11</v>
      </c>
      <c r="B13" s="4" t="inlineStr">
        <is>
          <t>2026-2027</t>
        </is>
      </c>
      <c r="C13" s="4" t="n">
        <v>10</v>
      </c>
      <c r="D13" s="4" t="inlineStr">
        <is>
          <t>10A1</t>
        </is>
      </c>
      <c r="E13" s="4" t="inlineStr">
        <is>
          <t>TH1</t>
        </is>
      </c>
      <c r="F13" s="4" t="inlineStr">
        <is>
          <t>SH</t>
        </is>
      </c>
      <c r="G13" s="4" t="inlineStr">
        <is>
          <t>Sinh h?c</t>
        </is>
      </c>
      <c r="H13" s="4" t="inlineStr">
        <is>
          <t>L?a ch?n</t>
        </is>
      </c>
      <c r="I13" s="4" t="n">
        <v>70</v>
      </c>
      <c r="J13" s="4" t="n">
        <v>36</v>
      </c>
      <c r="K13" s="4" t="n">
        <v>34</v>
      </c>
      <c r="L13" s="4" t="inlineStr">
        <is>
          <t>GV_SH_01</t>
        </is>
      </c>
      <c r="M13" s="4" t="inlineStr">
        <is>
          <t>B?i Th? Mai</t>
        </is>
      </c>
      <c r="N13" s="4" t="n">
        <v>17</v>
      </c>
      <c r="O13" s="4" t="inlineStr">
        <is>
          <t>GV_SH_01</t>
        </is>
      </c>
      <c r="P13" s="4" t="inlineStr">
        <is>
          <t>B?i Th? Mai</t>
        </is>
      </c>
      <c r="Q13" s="4" t="n">
        <v>17</v>
      </c>
      <c r="R13" s="4" t="inlineStr"/>
    </row>
    <row r="14">
      <c r="A14" s="4" t="n">
        <v>12</v>
      </c>
      <c r="B14" s="4" t="inlineStr">
        <is>
          <t>2026-2027</t>
        </is>
      </c>
      <c r="C14" s="4" t="n">
        <v>10</v>
      </c>
      <c r="D14" s="4" t="inlineStr">
        <is>
          <t>10A1</t>
        </is>
      </c>
      <c r="E14" s="4" t="inlineStr">
        <is>
          <t>TH1</t>
        </is>
      </c>
      <c r="F14" s="4" t="inlineStr">
        <is>
          <t>TH</t>
        </is>
      </c>
      <c r="G14" s="4" t="inlineStr">
        <is>
          <t>Tin h?c</t>
        </is>
      </c>
      <c r="H14" s="4" t="inlineStr">
        <is>
          <t>L?a ch?n</t>
        </is>
      </c>
      <c r="I14" s="4" t="n">
        <v>70</v>
      </c>
      <c r="J14" s="4" t="n">
        <v>36</v>
      </c>
      <c r="K14" s="4" t="n">
        <v>34</v>
      </c>
      <c r="L14" s="4" t="inlineStr">
        <is>
          <t>GV_TH_01</t>
        </is>
      </c>
      <c r="M14" s="4" t="inlineStr">
        <is>
          <t>Ph?m ??c Anh</t>
        </is>
      </c>
      <c r="N14" s="4" t="n">
        <v>17</v>
      </c>
      <c r="O14" s="4" t="inlineStr">
        <is>
          <t>GV_TH_01</t>
        </is>
      </c>
      <c r="P14" s="4" t="inlineStr">
        <is>
          <t>Ph?m ??c Anh</t>
        </is>
      </c>
      <c r="Q14" s="4" t="n">
        <v>17</v>
      </c>
      <c r="R14" s="4" t="inlineStr"/>
    </row>
    <row r="15">
      <c r="A15" s="4" t="n">
        <v>13</v>
      </c>
      <c r="B15" s="4" t="inlineStr">
        <is>
          <t>2026-2027</t>
        </is>
      </c>
      <c r="C15" s="4" t="n">
        <v>10</v>
      </c>
      <c r="D15" s="4" t="inlineStr">
        <is>
          <t>10A1</t>
        </is>
      </c>
      <c r="E15" s="4" t="inlineStr">
        <is>
          <t>TH1</t>
        </is>
      </c>
      <c r="F15" s="4" t="inlineStr">
        <is>
          <t>CD_TOAN</t>
        </is>
      </c>
      <c r="G15" s="4" t="inlineStr">
        <is>
          <t>Chuy?n ?? h?c t?p To?n</t>
        </is>
      </c>
      <c r="H15" s="4" t="inlineStr">
        <is>
          <t>Chuy?n ??</t>
        </is>
      </c>
      <c r="I15" s="4" t="n">
        <v>35</v>
      </c>
      <c r="J15" s="4" t="n">
        <v>18</v>
      </c>
      <c r="K15" s="4" t="n">
        <v>17</v>
      </c>
      <c r="L15" s="4" t="inlineStr">
        <is>
          <t>GV_TOAN_01</t>
        </is>
      </c>
      <c r="M15" s="4" t="inlineStr">
        <is>
          <t>L? Quang Minh</t>
        </is>
      </c>
      <c r="N15" s="4" t="n">
        <v>17</v>
      </c>
      <c r="O15" s="4" t="inlineStr">
        <is>
          <t>GV_TOAN_01</t>
        </is>
      </c>
      <c r="P15" s="4" t="inlineStr">
        <is>
          <t>L? Quang Minh</t>
        </is>
      </c>
      <c r="Q15" s="4" t="n">
        <v>17</v>
      </c>
      <c r="R15" s="4" t="inlineStr"/>
    </row>
    <row r="16">
      <c r="A16" s="4" t="n">
        <v>14</v>
      </c>
      <c r="B16" s="4" t="inlineStr">
        <is>
          <t>2026-2027</t>
        </is>
      </c>
      <c r="C16" s="4" t="n">
        <v>10</v>
      </c>
      <c r="D16" s="4" t="inlineStr">
        <is>
          <t>10A1</t>
        </is>
      </c>
      <c r="E16" s="4" t="inlineStr">
        <is>
          <t>TH1</t>
        </is>
      </c>
      <c r="F16" s="4" t="inlineStr">
        <is>
          <t>CD_VL</t>
        </is>
      </c>
      <c r="G16" s="4" t="inlineStr">
        <is>
          <t>Chuy?n ?? h?c t?p V?t l?</t>
        </is>
      </c>
      <c r="H16" s="4" t="inlineStr">
        <is>
          <t>Chuy?n ??</t>
        </is>
      </c>
      <c r="I16" s="4" t="n">
        <v>35</v>
      </c>
      <c r="J16" s="4" t="n">
        <v>18</v>
      </c>
      <c r="K16" s="4" t="n">
        <v>17</v>
      </c>
      <c r="L16" s="4" t="inlineStr">
        <is>
          <t>GV_VL_01</t>
        </is>
      </c>
      <c r="M16" s="4" t="inlineStr">
        <is>
          <t>Phan Qu?c B?o</t>
        </is>
      </c>
      <c r="N16" s="4" t="n">
        <v>17</v>
      </c>
      <c r="O16" s="4" t="inlineStr">
        <is>
          <t>GV_VL_01</t>
        </is>
      </c>
      <c r="P16" s="4" t="inlineStr">
        <is>
          <t>Phan Qu?c B?o</t>
        </is>
      </c>
      <c r="Q16" s="4" t="n">
        <v>17</v>
      </c>
      <c r="R16" s="4" t="inlineStr"/>
    </row>
    <row r="17">
      <c r="A17" s="4" t="n">
        <v>15</v>
      </c>
      <c r="B17" s="4" t="inlineStr">
        <is>
          <t>2026-2027</t>
        </is>
      </c>
      <c r="C17" s="4" t="n">
        <v>10</v>
      </c>
      <c r="D17" s="4" t="inlineStr">
        <is>
          <t>10A1</t>
        </is>
      </c>
      <c r="E17" s="4" t="inlineStr">
        <is>
          <t>TH1</t>
        </is>
      </c>
      <c r="F17" s="4" t="inlineStr">
        <is>
          <t>CD_HH</t>
        </is>
      </c>
      <c r="G17" s="4" t="inlineStr">
        <is>
          <t>Chuy?n ?? h?c t?p H?a h?c</t>
        </is>
      </c>
      <c r="H17" s="4" t="inlineStr">
        <is>
          <t>Chuy?n ??</t>
        </is>
      </c>
      <c r="I17" s="4" t="n">
        <v>35</v>
      </c>
      <c r="J17" s="4" t="n">
        <v>18</v>
      </c>
      <c r="K17" s="4" t="n">
        <v>17</v>
      </c>
      <c r="L17" s="4" t="inlineStr">
        <is>
          <t>GV_HH_01</t>
        </is>
      </c>
      <c r="M17" s="4" t="inlineStr">
        <is>
          <t>Tr?nh Thu Trang</t>
        </is>
      </c>
      <c r="N17" s="4" t="n">
        <v>17</v>
      </c>
      <c r="O17" s="4" t="inlineStr">
        <is>
          <t>GV_HH_01</t>
        </is>
      </c>
      <c r="P17" s="4" t="inlineStr">
        <is>
          <t>Tr?nh Thu Trang</t>
        </is>
      </c>
      <c r="Q17" s="4" t="n">
        <v>17</v>
      </c>
      <c r="R17" s="4" t="inlineStr"/>
    </row>
    <row r="18">
      <c r="A18" s="4" t="n">
        <v>16</v>
      </c>
      <c r="B18" s="4" t="inlineStr">
        <is>
          <t>2026-2027</t>
        </is>
      </c>
      <c r="C18" s="4" t="n">
        <v>10</v>
      </c>
      <c r="D18" s="4" t="inlineStr">
        <is>
          <t>10A2</t>
        </is>
      </c>
      <c r="E18" s="4" t="inlineStr">
        <is>
          <t>TH1</t>
        </is>
      </c>
      <c r="F18" s="4" t="inlineStr">
        <is>
          <t>NV</t>
        </is>
      </c>
      <c r="G18" s="4" t="inlineStr">
        <is>
          <t>Ng? v?n</t>
        </is>
      </c>
      <c r="H18" s="4" t="inlineStr">
        <is>
          <t>B?t bu?c</t>
        </is>
      </c>
      <c r="I18" s="4" t="n">
        <v>105</v>
      </c>
      <c r="J18" s="4" t="n">
        <v>54</v>
      </c>
      <c r="K18" s="4" t="n">
        <v>51</v>
      </c>
      <c r="L18" s="4" t="inlineStr">
        <is>
          <t>GV_NV_02</t>
        </is>
      </c>
      <c r="M18" s="4" t="inlineStr">
        <is>
          <t>Ph?m Thu H?</t>
        </is>
      </c>
      <c r="N18" s="4" t="n">
        <v>17</v>
      </c>
      <c r="O18" s="4" t="inlineStr">
        <is>
          <t>GV_NV_02</t>
        </is>
      </c>
      <c r="P18" s="4" t="inlineStr">
        <is>
          <t>Ph?m Thu H?</t>
        </is>
      </c>
      <c r="Q18" s="4" t="n">
        <v>17</v>
      </c>
      <c r="R18" s="4" t="inlineStr"/>
    </row>
    <row r="19">
      <c r="A19" s="4" t="n">
        <v>17</v>
      </c>
      <c r="B19" s="4" t="inlineStr">
        <is>
          <t>2026-2027</t>
        </is>
      </c>
      <c r="C19" s="4" t="n">
        <v>10</v>
      </c>
      <c r="D19" s="4" t="inlineStr">
        <is>
          <t>10A2</t>
        </is>
      </c>
      <c r="E19" s="4" t="inlineStr">
        <is>
          <t>TH1</t>
        </is>
      </c>
      <c r="F19" s="4" t="inlineStr">
        <is>
          <t>TOAN</t>
        </is>
      </c>
      <c r="G19" s="4" t="inlineStr">
        <is>
          <t>To?n</t>
        </is>
      </c>
      <c r="H19" s="4" t="inlineStr">
        <is>
          <t>B?t bu?c</t>
        </is>
      </c>
      <c r="I19" s="4" t="n">
        <v>105</v>
      </c>
      <c r="J19" s="4" t="n">
        <v>54</v>
      </c>
      <c r="K19" s="4" t="n">
        <v>51</v>
      </c>
      <c r="L19" s="4" t="inlineStr">
        <is>
          <t>GV_TOAN_02</t>
        </is>
      </c>
      <c r="M19" s="4" t="inlineStr">
        <is>
          <t>V? Th? H??ng</t>
        </is>
      </c>
      <c r="N19" s="4" t="n">
        <v>16</v>
      </c>
      <c r="O19" s="4" t="inlineStr">
        <is>
          <t>GV_TOAN_01</t>
        </is>
      </c>
      <c r="P19" s="4" t="inlineStr">
        <is>
          <t>L? Quang Minh</t>
        </is>
      </c>
      <c r="Q19" s="4" t="n">
        <v>17</v>
      </c>
      <c r="R19" s="4" t="inlineStr"/>
    </row>
    <row r="20">
      <c r="A20" s="4" t="n">
        <v>18</v>
      </c>
      <c r="B20" s="4" t="inlineStr">
        <is>
          <t>2026-2027</t>
        </is>
      </c>
      <c r="C20" s="4" t="n">
        <v>10</v>
      </c>
      <c r="D20" s="4" t="inlineStr">
        <is>
          <t>10A2</t>
        </is>
      </c>
      <c r="E20" s="4" t="inlineStr">
        <is>
          <t>TH1</t>
        </is>
      </c>
      <c r="F20" s="4" t="inlineStr">
        <is>
          <t>ANH</t>
        </is>
      </c>
      <c r="G20" s="4" t="inlineStr">
        <is>
          <t>Ngo?i ng? 1</t>
        </is>
      </c>
      <c r="H20" s="4" t="inlineStr">
        <is>
          <t>B?t bu?c</t>
        </is>
      </c>
      <c r="I20" s="4" t="n">
        <v>105</v>
      </c>
      <c r="J20" s="4" t="n">
        <v>54</v>
      </c>
      <c r="K20" s="4" t="n">
        <v>51</v>
      </c>
      <c r="L20" s="4" t="inlineStr">
        <is>
          <t>GV_ANH_02</t>
        </is>
      </c>
      <c r="M20" s="4" t="inlineStr">
        <is>
          <t>??o Kh?nh Linh</t>
        </is>
      </c>
      <c r="N20" s="4" t="n">
        <v>17</v>
      </c>
      <c r="O20" s="4" t="inlineStr">
        <is>
          <t>GV_ANH_02</t>
        </is>
      </c>
      <c r="P20" s="4" t="inlineStr">
        <is>
          <t>??o Kh?nh Linh</t>
        </is>
      </c>
      <c r="Q20" s="4" t="n">
        <v>17</v>
      </c>
      <c r="R20" s="4" t="inlineStr"/>
    </row>
    <row r="21">
      <c r="A21" s="4" t="n">
        <v>19</v>
      </c>
      <c r="B21" s="4" t="inlineStr">
        <is>
          <t>2026-2027</t>
        </is>
      </c>
      <c r="C21" s="4" t="n">
        <v>10</v>
      </c>
      <c r="D21" s="4" t="inlineStr">
        <is>
          <t>10A2</t>
        </is>
      </c>
      <c r="E21" s="4" t="inlineStr">
        <is>
          <t>TH1</t>
        </is>
      </c>
      <c r="F21" s="4" t="inlineStr">
        <is>
          <t>LS</t>
        </is>
      </c>
      <c r="G21" s="4" t="inlineStr">
        <is>
          <t>L?ch s?</t>
        </is>
      </c>
      <c r="H21" s="4" t="inlineStr">
        <is>
          <t>B?t bu?c</t>
        </is>
      </c>
      <c r="I21" s="4" t="n">
        <v>52</v>
      </c>
      <c r="J21" s="4" t="n">
        <v>27</v>
      </c>
      <c r="K21" s="4" t="n">
        <v>25</v>
      </c>
      <c r="L21" s="4" t="inlineStr">
        <is>
          <t>GV_LS_01</t>
        </is>
      </c>
      <c r="M21" s="4" t="inlineStr">
        <is>
          <t>??ng Th? H?a</t>
        </is>
      </c>
      <c r="N21" s="4" t="n">
        <v>17</v>
      </c>
      <c r="O21" s="4" t="inlineStr">
        <is>
          <t>GV_LS_01</t>
        </is>
      </c>
      <c r="P21" s="4" t="inlineStr">
        <is>
          <t>??ng Th? H?a</t>
        </is>
      </c>
      <c r="Q21" s="4" t="n">
        <v>17</v>
      </c>
      <c r="R21" s="4" t="inlineStr"/>
    </row>
    <row r="22">
      <c r="A22" s="4" t="n">
        <v>20</v>
      </c>
      <c r="B22" s="4" t="inlineStr">
        <is>
          <t>2026-2027</t>
        </is>
      </c>
      <c r="C22" s="4" t="n">
        <v>10</v>
      </c>
      <c r="D22" s="4" t="inlineStr">
        <is>
          <t>10A2</t>
        </is>
      </c>
      <c r="E22" s="4" t="inlineStr">
        <is>
          <t>TH1</t>
        </is>
      </c>
      <c r="F22" s="4" t="inlineStr">
        <is>
          <t>GDTC</t>
        </is>
      </c>
      <c r="G22" s="4" t="inlineStr">
        <is>
          <t>Gi?o d?c th? ch?t</t>
        </is>
      </c>
      <c r="H22" s="4" t="inlineStr">
        <is>
          <t>B?t bu?c</t>
        </is>
      </c>
      <c r="I22" s="4" t="n">
        <v>70</v>
      </c>
      <c r="J22" s="4" t="n">
        <v>36</v>
      </c>
      <c r="K22" s="4" t="n">
        <v>34</v>
      </c>
      <c r="L22" s="4" t="inlineStr">
        <is>
          <t>GV_GDTC_01</t>
        </is>
      </c>
      <c r="M22" s="4" t="inlineStr">
        <is>
          <t>Ph?m V?n D?ng</t>
        </is>
      </c>
      <c r="N22" s="4" t="n">
        <v>17</v>
      </c>
      <c r="O22" s="4" t="inlineStr">
        <is>
          <t>GV_GDTC_01</t>
        </is>
      </c>
      <c r="P22" s="4" t="inlineStr">
        <is>
          <t>Ph?m V?n D?ng</t>
        </is>
      </c>
      <c r="Q22" s="4" t="n">
        <v>17</v>
      </c>
      <c r="R22" s="4" t="inlineStr"/>
    </row>
    <row r="23">
      <c r="A23" s="4" t="n">
        <v>21</v>
      </c>
      <c r="B23" s="4" t="inlineStr">
        <is>
          <t>2026-2027</t>
        </is>
      </c>
      <c r="C23" s="4" t="n">
        <v>10</v>
      </c>
      <c r="D23" s="4" t="inlineStr">
        <is>
          <t>10A2</t>
        </is>
      </c>
      <c r="E23" s="4" t="inlineStr">
        <is>
          <t>TH1</t>
        </is>
      </c>
      <c r="F23" s="4" t="inlineStr">
        <is>
          <t>GDQPAN</t>
        </is>
      </c>
      <c r="G23" s="4" t="inlineStr">
        <is>
          <t>Gi?o d?c qu?c ph?ng v? an ninh</t>
        </is>
      </c>
      <c r="H23" s="4" t="inlineStr">
        <is>
          <t>B?t bu?c</t>
        </is>
      </c>
      <c r="I23" s="4" t="n">
        <v>35</v>
      </c>
      <c r="J23" s="4" t="n">
        <v>18</v>
      </c>
      <c r="K23" s="4" t="n">
        <v>17</v>
      </c>
      <c r="L23" s="4" t="inlineStr">
        <is>
          <t>GV_QPAN_01</t>
        </is>
      </c>
      <c r="M23" s="4" t="inlineStr">
        <is>
          <t>Nguy?n Qu?c Vi?t</t>
        </is>
      </c>
      <c r="N23" s="4" t="n">
        <v>17</v>
      </c>
      <c r="O23" s="4" t="inlineStr">
        <is>
          <t>GV_QPAN_01</t>
        </is>
      </c>
      <c r="P23" s="4" t="inlineStr">
        <is>
          <t>Nguy?n Qu?c Vi?t</t>
        </is>
      </c>
      <c r="Q23" s="4" t="n">
        <v>17</v>
      </c>
      <c r="R23" s="4" t="inlineStr"/>
    </row>
    <row r="24">
      <c r="A24" s="4" t="n">
        <v>22</v>
      </c>
      <c r="B24" s="4" t="inlineStr">
        <is>
          <t>2026-2027</t>
        </is>
      </c>
      <c r="C24" s="4" t="n">
        <v>10</v>
      </c>
      <c r="D24" s="4" t="inlineStr">
        <is>
          <t>10A2</t>
        </is>
      </c>
      <c r="E24" s="4" t="inlineStr">
        <is>
          <t>TH1</t>
        </is>
      </c>
      <c r="F24" s="4" t="inlineStr">
        <is>
          <t>HDTNHN</t>
        </is>
      </c>
      <c r="G24" s="4" t="inlineStr">
        <is>
          <t>Ho?t ??ng tr?i nghi?m, h??ng nghi?p</t>
        </is>
      </c>
      <c r="H24" s="4" t="inlineStr">
        <is>
          <t>B?t bu?c</t>
        </is>
      </c>
      <c r="I24" s="4" t="n">
        <v>105</v>
      </c>
      <c r="J24" s="4" t="n">
        <v>54</v>
      </c>
      <c r="K24" s="4" t="n">
        <v>51</v>
      </c>
      <c r="L24" s="4" t="inlineStr">
        <is>
          <t>GV_NV_01</t>
        </is>
      </c>
      <c r="M24" s="4" t="inlineStr">
        <is>
          <t>Nguy?n Th? Lan</t>
        </is>
      </c>
      <c r="N24" s="4" t="n">
        <v>17</v>
      </c>
      <c r="O24" s="4" t="inlineStr">
        <is>
          <t>GV_NV_01</t>
        </is>
      </c>
      <c r="P24" s="4" t="inlineStr">
        <is>
          <t>Nguy?n Th? Lan</t>
        </is>
      </c>
      <c r="Q24" s="4" t="n">
        <v>17</v>
      </c>
      <c r="R24" s="4" t="inlineStr"/>
    </row>
    <row r="25">
      <c r="A25" s="4" t="n">
        <v>23</v>
      </c>
      <c r="B25" s="4" t="inlineStr">
        <is>
          <t>2026-2027</t>
        </is>
      </c>
      <c r="C25" s="4" t="n">
        <v>10</v>
      </c>
      <c r="D25" s="4" t="inlineStr">
        <is>
          <t>10A2</t>
        </is>
      </c>
      <c r="E25" s="4" t="inlineStr">
        <is>
          <t>TH1</t>
        </is>
      </c>
      <c r="F25" s="4" t="inlineStr">
        <is>
          <t>GDDP</t>
        </is>
      </c>
      <c r="G25" s="4" t="inlineStr">
        <is>
          <t>N?i dung gi?o d?c c?a ??a ph??ng</t>
        </is>
      </c>
      <c r="H25" s="4" t="inlineStr">
        <is>
          <t>B?t bu?c</t>
        </is>
      </c>
      <c r="I25" s="4" t="n">
        <v>35</v>
      </c>
      <c r="J25" s="4" t="n">
        <v>18</v>
      </c>
      <c r="K25" s="4" t="n">
        <v>17</v>
      </c>
      <c r="L25" s="4" t="inlineStr">
        <is>
          <t>GV_DL_01</t>
        </is>
      </c>
      <c r="M25" s="4" t="inlineStr">
        <is>
          <t>Ho?ng Ng?c S?n</t>
        </is>
      </c>
      <c r="N25" s="4" t="n">
        <v>17</v>
      </c>
      <c r="O25" s="4" t="inlineStr">
        <is>
          <t>GV_DL_01</t>
        </is>
      </c>
      <c r="P25" s="4" t="inlineStr">
        <is>
          <t>Ho?ng Ng?c S?n</t>
        </is>
      </c>
      <c r="Q25" s="4" t="n">
        <v>17</v>
      </c>
      <c r="R25" s="4" t="inlineStr"/>
    </row>
    <row r="26">
      <c r="A26" s="4" t="n">
        <v>24</v>
      </c>
      <c r="B26" s="4" t="inlineStr">
        <is>
          <t>2026-2027</t>
        </is>
      </c>
      <c r="C26" s="4" t="n">
        <v>10</v>
      </c>
      <c r="D26" s="4" t="inlineStr">
        <is>
          <t>10A2</t>
        </is>
      </c>
      <c r="E26" s="4" t="inlineStr">
        <is>
          <t>TH1</t>
        </is>
      </c>
      <c r="F26" s="4" t="inlineStr">
        <is>
          <t>VL</t>
        </is>
      </c>
      <c r="G26" s="4" t="inlineStr">
        <is>
          <t>V?t l?</t>
        </is>
      </c>
      <c r="H26" s="4" t="inlineStr">
        <is>
          <t>L?a ch?n</t>
        </is>
      </c>
      <c r="I26" s="4" t="n">
        <v>70</v>
      </c>
      <c r="J26" s="4" t="n">
        <v>36</v>
      </c>
      <c r="K26" s="4" t="n">
        <v>34</v>
      </c>
      <c r="L26" s="4" t="inlineStr">
        <is>
          <t>GV_VL_02</t>
        </is>
      </c>
      <c r="M26" s="4" t="inlineStr">
        <is>
          <t>Ng? Minh ??c</t>
        </is>
      </c>
      <c r="N26" s="4" t="n">
        <v>17</v>
      </c>
      <c r="O26" s="4" t="inlineStr">
        <is>
          <t>GV_VL_02</t>
        </is>
      </c>
      <c r="P26" s="4" t="inlineStr">
        <is>
          <t>Ng? Minh ??c</t>
        </is>
      </c>
      <c r="Q26" s="4" t="n">
        <v>17</v>
      </c>
      <c r="R26" s="4" t="inlineStr"/>
    </row>
    <row r="27">
      <c r="A27" s="4" t="n">
        <v>25</v>
      </c>
      <c r="B27" s="4" t="inlineStr">
        <is>
          <t>2026-2027</t>
        </is>
      </c>
      <c r="C27" s="4" t="n">
        <v>10</v>
      </c>
      <c r="D27" s="4" t="inlineStr">
        <is>
          <t>10A2</t>
        </is>
      </c>
      <c r="E27" s="4" t="inlineStr">
        <is>
          <t>TH1</t>
        </is>
      </c>
      <c r="F27" s="4" t="inlineStr">
        <is>
          <t>HH</t>
        </is>
      </c>
      <c r="G27" s="4" t="inlineStr">
        <is>
          <t>H?a h?c</t>
        </is>
      </c>
      <c r="H27" s="4" t="inlineStr">
        <is>
          <t>L?a ch?n</t>
        </is>
      </c>
      <c r="I27" s="4" t="n">
        <v>70</v>
      </c>
      <c r="J27" s="4" t="n">
        <v>36</v>
      </c>
      <c r="K27" s="4" t="n">
        <v>34</v>
      </c>
      <c r="L27" s="4" t="inlineStr">
        <is>
          <t>GV_HH_02</t>
        </is>
      </c>
      <c r="M27" s="4" t="inlineStr">
        <is>
          <t>Nguy?n Th?o Vy</t>
        </is>
      </c>
      <c r="N27" s="4" t="n">
        <v>17</v>
      </c>
      <c r="O27" s="4" t="inlineStr">
        <is>
          <t>GV_HH_02</t>
        </is>
      </c>
      <c r="P27" s="4" t="inlineStr">
        <is>
          <t>Nguy?n Th?o Vy</t>
        </is>
      </c>
      <c r="Q27" s="4" t="n">
        <v>17</v>
      </c>
      <c r="R27" s="4" t="inlineStr"/>
    </row>
    <row r="28">
      <c r="A28" s="4" t="n">
        <v>26</v>
      </c>
      <c r="B28" s="4" t="inlineStr">
        <is>
          <t>2026-2027</t>
        </is>
      </c>
      <c r="C28" s="4" t="n">
        <v>10</v>
      </c>
      <c r="D28" s="4" t="inlineStr">
        <is>
          <t>10A2</t>
        </is>
      </c>
      <c r="E28" s="4" t="inlineStr">
        <is>
          <t>TH1</t>
        </is>
      </c>
      <c r="F28" s="4" t="inlineStr">
        <is>
          <t>SH</t>
        </is>
      </c>
      <c r="G28" s="4" t="inlineStr">
        <is>
          <t>Sinh h?c</t>
        </is>
      </c>
      <c r="H28" s="4" t="inlineStr">
        <is>
          <t>L?a ch?n</t>
        </is>
      </c>
      <c r="I28" s="4" t="n">
        <v>70</v>
      </c>
      <c r="J28" s="4" t="n">
        <v>36</v>
      </c>
      <c r="K28" s="4" t="n">
        <v>34</v>
      </c>
      <c r="L28" s="4" t="inlineStr">
        <is>
          <t>GV_SH_01</t>
        </is>
      </c>
      <c r="M28" s="4" t="inlineStr">
        <is>
          <t>B?i Th? Mai</t>
        </is>
      </c>
      <c r="N28" s="4" t="n">
        <v>17</v>
      </c>
      <c r="O28" s="4" t="inlineStr">
        <is>
          <t>GV_SH_01</t>
        </is>
      </c>
      <c r="P28" s="4" t="inlineStr">
        <is>
          <t>B?i Th? Mai</t>
        </is>
      </c>
      <c r="Q28" s="4" t="n">
        <v>17</v>
      </c>
      <c r="R28" s="4" t="inlineStr"/>
    </row>
    <row r="29">
      <c r="A29" s="4" t="n">
        <v>27</v>
      </c>
      <c r="B29" s="4" t="inlineStr">
        <is>
          <t>2026-2027</t>
        </is>
      </c>
      <c r="C29" s="4" t="n">
        <v>10</v>
      </c>
      <c r="D29" s="4" t="inlineStr">
        <is>
          <t>10A2</t>
        </is>
      </c>
      <c r="E29" s="4" t="inlineStr">
        <is>
          <t>TH1</t>
        </is>
      </c>
      <c r="F29" s="4" t="inlineStr">
        <is>
          <t>TH</t>
        </is>
      </c>
      <c r="G29" s="4" t="inlineStr">
        <is>
          <t>Tin h?c</t>
        </is>
      </c>
      <c r="H29" s="4" t="inlineStr">
        <is>
          <t>L?a ch?n</t>
        </is>
      </c>
      <c r="I29" s="4" t="n">
        <v>70</v>
      </c>
      <c r="J29" s="4" t="n">
        <v>36</v>
      </c>
      <c r="K29" s="4" t="n">
        <v>34</v>
      </c>
      <c r="L29" s="4" t="inlineStr">
        <is>
          <t>GV_TH_02</t>
        </is>
      </c>
      <c r="M29" s="4" t="inlineStr">
        <is>
          <t>L? Minh T?m</t>
        </is>
      </c>
      <c r="N29" s="4" t="n">
        <v>17</v>
      </c>
      <c r="O29" s="4" t="inlineStr">
        <is>
          <t>GV_TH_02</t>
        </is>
      </c>
      <c r="P29" s="4" t="inlineStr">
        <is>
          <t>L? Minh T?m</t>
        </is>
      </c>
      <c r="Q29" s="4" t="n">
        <v>17</v>
      </c>
      <c r="R29" s="4" t="inlineStr"/>
    </row>
    <row r="30">
      <c r="A30" s="4" t="n">
        <v>28</v>
      </c>
      <c r="B30" s="4" t="inlineStr">
        <is>
          <t>2026-2027</t>
        </is>
      </c>
      <c r="C30" s="4" t="n">
        <v>10</v>
      </c>
      <c r="D30" s="4" t="inlineStr">
        <is>
          <t>10A2</t>
        </is>
      </c>
      <c r="E30" s="4" t="inlineStr">
        <is>
          <t>TH1</t>
        </is>
      </c>
      <c r="F30" s="4" t="inlineStr">
        <is>
          <t>CD_TOAN</t>
        </is>
      </c>
      <c r="G30" s="4" t="inlineStr">
        <is>
          <t>Chuy?n ?? h?c t?p To?n</t>
        </is>
      </c>
      <c r="H30" s="4" t="inlineStr">
        <is>
          <t>Chuy?n ??</t>
        </is>
      </c>
      <c r="I30" s="4" t="n">
        <v>35</v>
      </c>
      <c r="J30" s="4" t="n">
        <v>18</v>
      </c>
      <c r="K30" s="4" t="n">
        <v>17</v>
      </c>
      <c r="L30" s="4" t="inlineStr">
        <is>
          <t>GV_TOAN_02</t>
        </is>
      </c>
      <c r="M30" s="4" t="inlineStr">
        <is>
          <t>V? Th? H??ng</t>
        </is>
      </c>
      <c r="N30" s="4" t="n">
        <v>16</v>
      </c>
      <c r="O30" s="4" t="inlineStr">
        <is>
          <t>GV_TOAN_02</t>
        </is>
      </c>
      <c r="P30" s="4" t="inlineStr">
        <is>
          <t>V? Th? H??ng</t>
        </is>
      </c>
      <c r="Q30" s="4" t="n">
        <v>16</v>
      </c>
      <c r="R30" s="4" t="inlineStr"/>
    </row>
    <row r="31">
      <c r="A31" s="4" t="n">
        <v>29</v>
      </c>
      <c r="B31" s="4" t="inlineStr">
        <is>
          <t>2026-2027</t>
        </is>
      </c>
      <c r="C31" s="4" t="n">
        <v>10</v>
      </c>
      <c r="D31" s="4" t="inlineStr">
        <is>
          <t>10A2</t>
        </is>
      </c>
      <c r="E31" s="4" t="inlineStr">
        <is>
          <t>TH1</t>
        </is>
      </c>
      <c r="F31" s="4" t="inlineStr">
        <is>
          <t>CD_VL</t>
        </is>
      </c>
      <c r="G31" s="4" t="inlineStr">
        <is>
          <t>Chuy?n ?? h?c t?p V?t l?</t>
        </is>
      </c>
      <c r="H31" s="4" t="inlineStr">
        <is>
          <t>Chuy?n ??</t>
        </is>
      </c>
      <c r="I31" s="4" t="n">
        <v>35</v>
      </c>
      <c r="J31" s="4" t="n">
        <v>18</v>
      </c>
      <c r="K31" s="4" t="n">
        <v>17</v>
      </c>
      <c r="L31" s="4" t="inlineStr">
        <is>
          <t>GV_VL_02</t>
        </is>
      </c>
      <c r="M31" s="4" t="inlineStr">
        <is>
          <t>Ng? Minh ??c</t>
        </is>
      </c>
      <c r="N31" s="4" t="n">
        <v>17</v>
      </c>
      <c r="O31" s="4" t="inlineStr">
        <is>
          <t>GV_VL_02</t>
        </is>
      </c>
      <c r="P31" s="4" t="inlineStr">
        <is>
          <t>Ng? Minh ??c</t>
        </is>
      </c>
      <c r="Q31" s="4" t="n">
        <v>17</v>
      </c>
      <c r="R31" s="4" t="inlineStr"/>
    </row>
    <row r="32">
      <c r="A32" s="4" t="n">
        <v>30</v>
      </c>
      <c r="B32" s="4" t="inlineStr">
        <is>
          <t>2026-2027</t>
        </is>
      </c>
      <c r="C32" s="4" t="n">
        <v>10</v>
      </c>
      <c r="D32" s="4" t="inlineStr">
        <is>
          <t>10A2</t>
        </is>
      </c>
      <c r="E32" s="4" t="inlineStr">
        <is>
          <t>TH1</t>
        </is>
      </c>
      <c r="F32" s="4" t="inlineStr">
        <is>
          <t>CD_HH</t>
        </is>
      </c>
      <c r="G32" s="4" t="inlineStr">
        <is>
          <t>Chuy?n ?? h?c t?p H?a h?c</t>
        </is>
      </c>
      <c r="H32" s="4" t="inlineStr">
        <is>
          <t>Chuy?n ??</t>
        </is>
      </c>
      <c r="I32" s="4" t="n">
        <v>35</v>
      </c>
      <c r="J32" s="4" t="n">
        <v>18</v>
      </c>
      <c r="K32" s="4" t="n">
        <v>17</v>
      </c>
      <c r="L32" s="4" t="inlineStr">
        <is>
          <t>GV_HH_02</t>
        </is>
      </c>
      <c r="M32" s="4" t="inlineStr">
        <is>
          <t>Nguy?n Th?o Vy</t>
        </is>
      </c>
      <c r="N32" s="4" t="n">
        <v>17</v>
      </c>
      <c r="O32" s="4" t="inlineStr">
        <is>
          <t>GV_HH_02</t>
        </is>
      </c>
      <c r="P32" s="4" t="inlineStr">
        <is>
          <t>Nguy?n Th?o Vy</t>
        </is>
      </c>
      <c r="Q32" s="4" t="n">
        <v>17</v>
      </c>
      <c r="R32" s="4" t="inlineStr"/>
    </row>
    <row r="33">
      <c r="A33" s="4" t="n">
        <v>31</v>
      </c>
      <c r="B33" s="4" t="inlineStr">
        <is>
          <t>2026-2027</t>
        </is>
      </c>
      <c r="C33" s="4" t="n">
        <v>10</v>
      </c>
      <c r="D33" s="4" t="inlineStr">
        <is>
          <t>10D1</t>
        </is>
      </c>
      <c r="E33" s="4" t="inlineStr">
        <is>
          <t>TH3</t>
        </is>
      </c>
      <c r="F33" s="4" t="inlineStr">
        <is>
          <t>NV</t>
        </is>
      </c>
      <c r="G33" s="4" t="inlineStr">
        <is>
          <t>Ng? v?n</t>
        </is>
      </c>
      <c r="H33" s="4" t="inlineStr">
        <is>
          <t>B?t bu?c</t>
        </is>
      </c>
      <c r="I33" s="4" t="n">
        <v>105</v>
      </c>
      <c r="J33" s="4" t="n">
        <v>54</v>
      </c>
      <c r="K33" s="4" t="n">
        <v>51</v>
      </c>
      <c r="L33" s="4" t="inlineStr">
        <is>
          <t>GV_NV_02</t>
        </is>
      </c>
      <c r="M33" s="4" t="inlineStr">
        <is>
          <t>Ph?m Thu H?</t>
        </is>
      </c>
      <c r="N33" s="4" t="n">
        <v>17</v>
      </c>
      <c r="O33" s="4" t="inlineStr">
        <is>
          <t>GV_NV_02</t>
        </is>
      </c>
      <c r="P33" s="4" t="inlineStr">
        <is>
          <t>Ph?m Thu H?</t>
        </is>
      </c>
      <c r="Q33" s="4" t="n">
        <v>17</v>
      </c>
      <c r="R33" s="4" t="inlineStr"/>
    </row>
    <row r="34">
      <c r="A34" s="4" t="n">
        <v>32</v>
      </c>
      <c r="B34" s="4" t="inlineStr">
        <is>
          <t>2026-2027</t>
        </is>
      </c>
      <c r="C34" s="4" t="n">
        <v>10</v>
      </c>
      <c r="D34" s="4" t="inlineStr">
        <is>
          <t>10D1</t>
        </is>
      </c>
      <c r="E34" s="4" t="inlineStr">
        <is>
          <t>TH3</t>
        </is>
      </c>
      <c r="F34" s="4" t="inlineStr">
        <is>
          <t>TOAN</t>
        </is>
      </c>
      <c r="G34" s="4" t="inlineStr">
        <is>
          <t>To?n</t>
        </is>
      </c>
      <c r="H34" s="4" t="inlineStr">
        <is>
          <t>B?t bu?c</t>
        </is>
      </c>
      <c r="I34" s="4" t="n">
        <v>105</v>
      </c>
      <c r="J34" s="4" t="n">
        <v>54</v>
      </c>
      <c r="K34" s="4" t="n">
        <v>51</v>
      </c>
      <c r="L34" s="4" t="inlineStr">
        <is>
          <t>GV_TOAN_01</t>
        </is>
      </c>
      <c r="M34" s="4" t="inlineStr">
        <is>
          <t>L? Quang Minh</t>
        </is>
      </c>
      <c r="N34" s="4" t="n">
        <v>17</v>
      </c>
      <c r="O34" s="4" t="inlineStr">
        <is>
          <t>GV_TOAN_01</t>
        </is>
      </c>
      <c r="P34" s="4" t="inlineStr">
        <is>
          <t>L? Quang Minh</t>
        </is>
      </c>
      <c r="Q34" s="4" t="n">
        <v>17</v>
      </c>
      <c r="R34" s="4" t="inlineStr"/>
    </row>
    <row r="35">
      <c r="A35" s="4" t="n">
        <v>33</v>
      </c>
      <c r="B35" s="4" t="inlineStr">
        <is>
          <t>2026-2027</t>
        </is>
      </c>
      <c r="C35" s="4" t="n">
        <v>10</v>
      </c>
      <c r="D35" s="4" t="inlineStr">
        <is>
          <t>10D1</t>
        </is>
      </c>
      <c r="E35" s="4" t="inlineStr">
        <is>
          <t>TH3</t>
        </is>
      </c>
      <c r="F35" s="4" t="inlineStr">
        <is>
          <t>ANH</t>
        </is>
      </c>
      <c r="G35" s="4" t="inlineStr">
        <is>
          <t>Ngo?i ng? 1</t>
        </is>
      </c>
      <c r="H35" s="4" t="inlineStr">
        <is>
          <t>B?t bu?c</t>
        </is>
      </c>
      <c r="I35" s="4" t="n">
        <v>105</v>
      </c>
      <c r="J35" s="4" t="n">
        <v>54</v>
      </c>
      <c r="K35" s="4" t="n">
        <v>51</v>
      </c>
      <c r="L35" s="4" t="inlineStr">
        <is>
          <t>GV_ANH_01</t>
        </is>
      </c>
      <c r="M35" s="4" t="inlineStr">
        <is>
          <t>Tr?n Ho?i An</t>
        </is>
      </c>
      <c r="N35" s="4" t="n">
        <v>17</v>
      </c>
      <c r="O35" s="4" t="inlineStr">
        <is>
          <t>GV_ANH_01</t>
        </is>
      </c>
      <c r="P35" s="4" t="inlineStr">
        <is>
          <t>Tr?n Ho?i An</t>
        </is>
      </c>
      <c r="Q35" s="4" t="n">
        <v>17</v>
      </c>
      <c r="R35" s="4" t="inlineStr"/>
    </row>
    <row r="36">
      <c r="A36" s="4" t="n">
        <v>34</v>
      </c>
      <c r="B36" s="4" t="inlineStr">
        <is>
          <t>2026-2027</t>
        </is>
      </c>
      <c r="C36" s="4" t="n">
        <v>10</v>
      </c>
      <c r="D36" s="4" t="inlineStr">
        <is>
          <t>10D1</t>
        </is>
      </c>
      <c r="E36" s="4" t="inlineStr">
        <is>
          <t>TH3</t>
        </is>
      </c>
      <c r="F36" s="4" t="inlineStr">
        <is>
          <t>LS</t>
        </is>
      </c>
      <c r="G36" s="4" t="inlineStr">
        <is>
          <t>L?ch s?</t>
        </is>
      </c>
      <c r="H36" s="4" t="inlineStr">
        <is>
          <t>B?t bu?c</t>
        </is>
      </c>
      <c r="I36" s="4" t="n">
        <v>52</v>
      </c>
      <c r="J36" s="4" t="n">
        <v>27</v>
      </c>
      <c r="K36" s="4" t="n">
        <v>25</v>
      </c>
      <c r="L36" s="4" t="inlineStr">
        <is>
          <t>GV_LS_01</t>
        </is>
      </c>
      <c r="M36" s="4" t="inlineStr">
        <is>
          <t>??ng Th? H?a</t>
        </is>
      </c>
      <c r="N36" s="4" t="n">
        <v>17</v>
      </c>
      <c r="O36" s="4" t="inlineStr">
        <is>
          <t>GV_LS_01</t>
        </is>
      </c>
      <c r="P36" s="4" t="inlineStr">
        <is>
          <t>??ng Th? H?a</t>
        </is>
      </c>
      <c r="Q36" s="4" t="n">
        <v>17</v>
      </c>
      <c r="R36" s="4" t="inlineStr"/>
    </row>
    <row r="37">
      <c r="A37" s="4" t="n">
        <v>35</v>
      </c>
      <c r="B37" s="4" t="inlineStr">
        <is>
          <t>2026-2027</t>
        </is>
      </c>
      <c r="C37" s="4" t="n">
        <v>10</v>
      </c>
      <c r="D37" s="4" t="inlineStr">
        <is>
          <t>10D1</t>
        </is>
      </c>
      <c r="E37" s="4" t="inlineStr">
        <is>
          <t>TH3</t>
        </is>
      </c>
      <c r="F37" s="4" t="inlineStr">
        <is>
          <t>GDTC</t>
        </is>
      </c>
      <c r="G37" s="4" t="inlineStr">
        <is>
          <t>Gi?o d?c th? ch?t</t>
        </is>
      </c>
      <c r="H37" s="4" t="inlineStr">
        <is>
          <t>B?t bu?c</t>
        </is>
      </c>
      <c r="I37" s="4" t="n">
        <v>70</v>
      </c>
      <c r="J37" s="4" t="n">
        <v>36</v>
      </c>
      <c r="K37" s="4" t="n">
        <v>34</v>
      </c>
      <c r="L37" s="4" t="inlineStr">
        <is>
          <t>GV_GDTC_01</t>
        </is>
      </c>
      <c r="M37" s="4" t="inlineStr">
        <is>
          <t>Ph?m V?n D?ng</t>
        </is>
      </c>
      <c r="N37" s="4" t="n">
        <v>17</v>
      </c>
      <c r="O37" s="4" t="inlineStr">
        <is>
          <t>GV_GDTC_01</t>
        </is>
      </c>
      <c r="P37" s="4" t="inlineStr">
        <is>
          <t>Ph?m V?n D?ng</t>
        </is>
      </c>
      <c r="Q37" s="4" t="n">
        <v>17</v>
      </c>
      <c r="R37" s="4" t="inlineStr"/>
    </row>
    <row r="38">
      <c r="A38" s="4" t="n">
        <v>36</v>
      </c>
      <c r="B38" s="4" t="inlineStr">
        <is>
          <t>2026-2027</t>
        </is>
      </c>
      <c r="C38" s="4" t="n">
        <v>10</v>
      </c>
      <c r="D38" s="4" t="inlineStr">
        <is>
          <t>10D1</t>
        </is>
      </c>
      <c r="E38" s="4" t="inlineStr">
        <is>
          <t>TH3</t>
        </is>
      </c>
      <c r="F38" s="4" t="inlineStr">
        <is>
          <t>GDQPAN</t>
        </is>
      </c>
      <c r="G38" s="4" t="inlineStr">
        <is>
          <t>Gi?o d?c qu?c ph?ng v? an ninh</t>
        </is>
      </c>
      <c r="H38" s="4" t="inlineStr">
        <is>
          <t>B?t bu?c</t>
        </is>
      </c>
      <c r="I38" s="4" t="n">
        <v>35</v>
      </c>
      <c r="J38" s="4" t="n">
        <v>18</v>
      </c>
      <c r="K38" s="4" t="n">
        <v>17</v>
      </c>
      <c r="L38" s="4" t="inlineStr">
        <is>
          <t>GV_QPAN_01</t>
        </is>
      </c>
      <c r="M38" s="4" t="inlineStr">
        <is>
          <t>Nguy?n Qu?c Vi?t</t>
        </is>
      </c>
      <c r="N38" s="4" t="n">
        <v>17</v>
      </c>
      <c r="O38" s="4" t="inlineStr">
        <is>
          <t>GV_QPAN_01</t>
        </is>
      </c>
      <c r="P38" s="4" t="inlineStr">
        <is>
          <t>Nguy?n Qu?c Vi?t</t>
        </is>
      </c>
      <c r="Q38" s="4" t="n">
        <v>17</v>
      </c>
      <c r="R38" s="4" t="inlineStr"/>
    </row>
    <row r="39">
      <c r="A39" s="4" t="n">
        <v>37</v>
      </c>
      <c r="B39" s="4" t="inlineStr">
        <is>
          <t>2026-2027</t>
        </is>
      </c>
      <c r="C39" s="4" t="n">
        <v>10</v>
      </c>
      <c r="D39" s="4" t="inlineStr">
        <is>
          <t>10D1</t>
        </is>
      </c>
      <c r="E39" s="4" t="inlineStr">
        <is>
          <t>TH3</t>
        </is>
      </c>
      <c r="F39" s="4" t="inlineStr">
        <is>
          <t>HDTNHN</t>
        </is>
      </c>
      <c r="G39" s="4" t="inlineStr">
        <is>
          <t>Ho?t ??ng tr?i nghi?m, h??ng nghi?p</t>
        </is>
      </c>
      <c r="H39" s="4" t="inlineStr">
        <is>
          <t>B?t bu?c</t>
        </is>
      </c>
      <c r="I39" s="4" t="n">
        <v>105</v>
      </c>
      <c r="J39" s="4" t="n">
        <v>54</v>
      </c>
      <c r="K39" s="4" t="n">
        <v>51</v>
      </c>
      <c r="L39" s="4" t="inlineStr">
        <is>
          <t>GV_GDKTPL_01</t>
        </is>
      </c>
      <c r="M39" s="4" t="inlineStr">
        <is>
          <t>L? Thu Ph??ng</t>
        </is>
      </c>
      <c r="N39" s="4" t="n">
        <v>17</v>
      </c>
      <c r="O39" s="4" t="inlineStr">
        <is>
          <t>GV_GDKTPL_01</t>
        </is>
      </c>
      <c r="P39" s="4" t="inlineStr">
        <is>
          <t>L? Thu Ph??ng</t>
        </is>
      </c>
      <c r="Q39" s="4" t="n">
        <v>17</v>
      </c>
      <c r="R39" s="4" t="inlineStr"/>
    </row>
    <row r="40">
      <c r="A40" s="4" t="n">
        <v>38</v>
      </c>
      <c r="B40" s="4" t="inlineStr">
        <is>
          <t>2026-2027</t>
        </is>
      </c>
      <c r="C40" s="4" t="n">
        <v>10</v>
      </c>
      <c r="D40" s="4" t="inlineStr">
        <is>
          <t>10D1</t>
        </is>
      </c>
      <c r="E40" s="4" t="inlineStr">
        <is>
          <t>TH3</t>
        </is>
      </c>
      <c r="F40" s="4" t="inlineStr">
        <is>
          <t>GDDP</t>
        </is>
      </c>
      <c r="G40" s="4" t="inlineStr">
        <is>
          <t>N?i dung gi?o d?c c?a ??a ph??ng</t>
        </is>
      </c>
      <c r="H40" s="4" t="inlineStr">
        <is>
          <t>B?t bu?c</t>
        </is>
      </c>
      <c r="I40" s="4" t="n">
        <v>35</v>
      </c>
      <c r="J40" s="4" t="n">
        <v>18</v>
      </c>
      <c r="K40" s="4" t="n">
        <v>17</v>
      </c>
      <c r="L40" s="4" t="inlineStr">
        <is>
          <t>GV_DL_01</t>
        </is>
      </c>
      <c r="M40" s="4" t="inlineStr">
        <is>
          <t>Ho?ng Ng?c S?n</t>
        </is>
      </c>
      <c r="N40" s="4" t="n">
        <v>17</v>
      </c>
      <c r="O40" s="4" t="inlineStr">
        <is>
          <t>GV_DL_01</t>
        </is>
      </c>
      <c r="P40" s="4" t="inlineStr">
        <is>
          <t>Ho?ng Ng?c S?n</t>
        </is>
      </c>
      <c r="Q40" s="4" t="n">
        <v>17</v>
      </c>
      <c r="R40" s="4" t="inlineStr"/>
    </row>
    <row r="41">
      <c r="A41" s="4" t="n">
        <v>39</v>
      </c>
      <c r="B41" s="4" t="inlineStr">
        <is>
          <t>2026-2027</t>
        </is>
      </c>
      <c r="C41" s="4" t="n">
        <v>10</v>
      </c>
      <c r="D41" s="4" t="inlineStr">
        <is>
          <t>10D1</t>
        </is>
      </c>
      <c r="E41" s="4" t="inlineStr">
        <is>
          <t>TH3</t>
        </is>
      </c>
      <c r="F41" s="4" t="inlineStr">
        <is>
          <t>DL</t>
        </is>
      </c>
      <c r="G41" s="4" t="inlineStr">
        <is>
          <t>??a l?</t>
        </is>
      </c>
      <c r="H41" s="4" t="inlineStr">
        <is>
          <t>L?a ch?n</t>
        </is>
      </c>
      <c r="I41" s="4" t="n">
        <v>70</v>
      </c>
      <c r="J41" s="4" t="n">
        <v>36</v>
      </c>
      <c r="K41" s="4" t="n">
        <v>34</v>
      </c>
      <c r="L41" s="4" t="inlineStr">
        <is>
          <t>GV_DL_01</t>
        </is>
      </c>
      <c r="M41" s="4" t="inlineStr">
        <is>
          <t>Ho?ng Ng?c S?n</t>
        </is>
      </c>
      <c r="N41" s="4" t="n">
        <v>17</v>
      </c>
      <c r="O41" s="4" t="inlineStr">
        <is>
          <t>GV_DL_01</t>
        </is>
      </c>
      <c r="P41" s="4" t="inlineStr">
        <is>
          <t>Ho?ng Ng?c S?n</t>
        </is>
      </c>
      <c r="Q41" s="4" t="n">
        <v>17</v>
      </c>
      <c r="R41" s="4" t="inlineStr"/>
    </row>
    <row r="42">
      <c r="A42" s="4" t="n">
        <v>40</v>
      </c>
      <c r="B42" s="4" t="inlineStr">
        <is>
          <t>2026-2027</t>
        </is>
      </c>
      <c r="C42" s="4" t="n">
        <v>10</v>
      </c>
      <c r="D42" s="4" t="inlineStr">
        <is>
          <t>10D1</t>
        </is>
      </c>
      <c r="E42" s="4" t="inlineStr">
        <is>
          <t>TH3</t>
        </is>
      </c>
      <c r="F42" s="4" t="inlineStr">
        <is>
          <t>GDKTPL</t>
        </is>
      </c>
      <c r="G42" s="4" t="inlineStr">
        <is>
          <t>Gi?o d?c kinh t? v? ph?p lu?t</t>
        </is>
      </c>
      <c r="H42" s="4" t="inlineStr">
        <is>
          <t>L?a ch?n</t>
        </is>
      </c>
      <c r="I42" s="4" t="n">
        <v>70</v>
      </c>
      <c r="J42" s="4" t="n">
        <v>36</v>
      </c>
      <c r="K42" s="4" t="n">
        <v>34</v>
      </c>
      <c r="L42" s="4" t="inlineStr">
        <is>
          <t>GV_GDKTPL_01</t>
        </is>
      </c>
      <c r="M42" s="4" t="inlineStr">
        <is>
          <t>L? Thu Ph??ng</t>
        </is>
      </c>
      <c r="N42" s="4" t="n">
        <v>17</v>
      </c>
      <c r="O42" s="4" t="inlineStr">
        <is>
          <t>GV_GDKTPL_01</t>
        </is>
      </c>
      <c r="P42" s="4" t="inlineStr">
        <is>
          <t>L? Thu Ph??ng</t>
        </is>
      </c>
      <c r="Q42" s="4" t="n">
        <v>17</v>
      </c>
      <c r="R42" s="4" t="inlineStr"/>
    </row>
    <row r="43">
      <c r="A43" s="4" t="n">
        <v>41</v>
      </c>
      <c r="B43" s="4" t="inlineStr">
        <is>
          <t>2026-2027</t>
        </is>
      </c>
      <c r="C43" s="4" t="n">
        <v>10</v>
      </c>
      <c r="D43" s="4" t="inlineStr">
        <is>
          <t>10D1</t>
        </is>
      </c>
      <c r="E43" s="4" t="inlineStr">
        <is>
          <t>TH3</t>
        </is>
      </c>
      <c r="F43" s="4" t="inlineStr">
        <is>
          <t>TH</t>
        </is>
      </c>
      <c r="G43" s="4" t="inlineStr">
        <is>
          <t>Tin h?c</t>
        </is>
      </c>
      <c r="H43" s="4" t="inlineStr">
        <is>
          <t>L?a ch?n</t>
        </is>
      </c>
      <c r="I43" s="4" t="n">
        <v>70</v>
      </c>
      <c r="J43" s="4" t="n">
        <v>36</v>
      </c>
      <c r="K43" s="4" t="n">
        <v>34</v>
      </c>
      <c r="L43" s="4" t="inlineStr">
        <is>
          <t>GV_TH_01</t>
        </is>
      </c>
      <c r="M43" s="4" t="inlineStr">
        <is>
          <t>Ph?m ??c Anh</t>
        </is>
      </c>
      <c r="N43" s="4" t="n">
        <v>17</v>
      </c>
      <c r="O43" s="4" t="inlineStr">
        <is>
          <t>GV_TH_01</t>
        </is>
      </c>
      <c r="P43" s="4" t="inlineStr">
        <is>
          <t>Ph?m ??c Anh</t>
        </is>
      </c>
      <c r="Q43" s="4" t="n">
        <v>17</v>
      </c>
      <c r="R43" s="4" t="inlineStr"/>
    </row>
    <row r="44">
      <c r="A44" s="4" t="n">
        <v>42</v>
      </c>
      <c r="B44" s="4" t="inlineStr">
        <is>
          <t>2026-2027</t>
        </is>
      </c>
      <c r="C44" s="4" t="n">
        <v>10</v>
      </c>
      <c r="D44" s="4" t="inlineStr">
        <is>
          <t>10D1</t>
        </is>
      </c>
      <c r="E44" s="4" t="inlineStr">
        <is>
          <t>TH3</t>
        </is>
      </c>
      <c r="F44" s="4" t="inlineStr">
        <is>
          <t>CN</t>
        </is>
      </c>
      <c r="G44" s="4" t="inlineStr">
        <is>
          <t>C?ng ngh?</t>
        </is>
      </c>
      <c r="H44" s="4" t="inlineStr">
        <is>
          <t>L?a ch?n</t>
        </is>
      </c>
      <c r="I44" s="4" t="n">
        <v>70</v>
      </c>
      <c r="J44" s="4" t="n">
        <v>36</v>
      </c>
      <c r="K44" s="4" t="n">
        <v>34</v>
      </c>
      <c r="L44" s="4" t="inlineStr">
        <is>
          <t>GV_CN_01</t>
        </is>
      </c>
      <c r="M44" s="4" t="inlineStr">
        <is>
          <t>Nguy?n H?u Ph?c</t>
        </is>
      </c>
      <c r="N44" s="4" t="n">
        <v>17</v>
      </c>
      <c r="O44" s="4" t="inlineStr">
        <is>
          <t>GV_CN_01</t>
        </is>
      </c>
      <c r="P44" s="4" t="inlineStr">
        <is>
          <t>Nguy?n H?u Ph?c</t>
        </is>
      </c>
      <c r="Q44" s="4" t="n">
        <v>17</v>
      </c>
      <c r="R44" s="4" t="inlineStr"/>
    </row>
    <row r="45">
      <c r="A45" s="4" t="n">
        <v>43</v>
      </c>
      <c r="B45" s="4" t="inlineStr">
        <is>
          <t>2026-2027</t>
        </is>
      </c>
      <c r="C45" s="4" t="n">
        <v>10</v>
      </c>
      <c r="D45" s="4" t="inlineStr">
        <is>
          <t>10D1</t>
        </is>
      </c>
      <c r="E45" s="4" t="inlineStr">
        <is>
          <t>TH3</t>
        </is>
      </c>
      <c r="F45" s="4" t="inlineStr">
        <is>
          <t>CD_NV</t>
        </is>
      </c>
      <c r="G45" s="4" t="inlineStr">
        <is>
          <t>Chuy?n ?? h?c t?p Ng? v?n</t>
        </is>
      </c>
      <c r="H45" s="4" t="inlineStr">
        <is>
          <t>Chuy?n ??</t>
        </is>
      </c>
      <c r="I45" s="4" t="n">
        <v>35</v>
      </c>
      <c r="J45" s="4" t="n">
        <v>18</v>
      </c>
      <c r="K45" s="4" t="n">
        <v>17</v>
      </c>
      <c r="L45" s="4" t="inlineStr">
        <is>
          <t>GV_NV_02</t>
        </is>
      </c>
      <c r="M45" s="4" t="inlineStr">
        <is>
          <t>Ph?m Thu H?</t>
        </is>
      </c>
      <c r="N45" s="4" t="n">
        <v>17</v>
      </c>
      <c r="O45" s="4" t="inlineStr">
        <is>
          <t>GV_NV_02</t>
        </is>
      </c>
      <c r="P45" s="4" t="inlineStr">
        <is>
          <t>Ph?m Thu H?</t>
        </is>
      </c>
      <c r="Q45" s="4" t="n">
        <v>17</v>
      </c>
      <c r="R45" s="4" t="inlineStr"/>
    </row>
    <row r="46">
      <c r="A46" s="4" t="n">
        <v>44</v>
      </c>
      <c r="B46" s="4" t="inlineStr">
        <is>
          <t>2026-2027</t>
        </is>
      </c>
      <c r="C46" s="4" t="n">
        <v>10</v>
      </c>
      <c r="D46" s="4" t="inlineStr">
        <is>
          <t>10D1</t>
        </is>
      </c>
      <c r="E46" s="4" t="inlineStr">
        <is>
          <t>TH3</t>
        </is>
      </c>
      <c r="F46" s="4" t="inlineStr">
        <is>
          <t>CD_DL</t>
        </is>
      </c>
      <c r="G46" s="4" t="inlineStr">
        <is>
          <t>Chuy?n ?? h?c t?p ??a l?</t>
        </is>
      </c>
      <c r="H46" s="4" t="inlineStr">
        <is>
          <t>Chuy?n ??</t>
        </is>
      </c>
      <c r="I46" s="4" t="n">
        <v>35</v>
      </c>
      <c r="J46" s="4" t="n">
        <v>18</v>
      </c>
      <c r="K46" s="4" t="n">
        <v>17</v>
      </c>
      <c r="L46" s="4" t="inlineStr">
        <is>
          <t>GV_DL_01</t>
        </is>
      </c>
      <c r="M46" s="4" t="inlineStr">
        <is>
          <t>Ho?ng Ng?c S?n</t>
        </is>
      </c>
      <c r="N46" s="4" t="n">
        <v>17</v>
      </c>
      <c r="O46" s="4" t="inlineStr">
        <is>
          <t>GV_DL_01</t>
        </is>
      </c>
      <c r="P46" s="4" t="inlineStr">
        <is>
          <t>Ho?ng Ng?c S?n</t>
        </is>
      </c>
      <c r="Q46" s="4" t="n">
        <v>17</v>
      </c>
      <c r="R46" s="4" t="inlineStr"/>
    </row>
    <row r="47">
      <c r="A47" s="4" t="n">
        <v>45</v>
      </c>
      <c r="B47" s="4" t="inlineStr">
        <is>
          <t>2026-2027</t>
        </is>
      </c>
      <c r="C47" s="4" t="n">
        <v>10</v>
      </c>
      <c r="D47" s="4" t="inlineStr">
        <is>
          <t>10D1</t>
        </is>
      </c>
      <c r="E47" s="4" t="inlineStr">
        <is>
          <t>TH3</t>
        </is>
      </c>
      <c r="F47" s="4" t="inlineStr">
        <is>
          <t>CD_GDKTPL</t>
        </is>
      </c>
      <c r="G47" s="4" t="inlineStr">
        <is>
          <t>Chuy?n ?? h?c t?p GDKTPL</t>
        </is>
      </c>
      <c r="H47" s="4" t="inlineStr">
        <is>
          <t>Chuy?n ??</t>
        </is>
      </c>
      <c r="I47" s="4" t="n">
        <v>35</v>
      </c>
      <c r="J47" s="4" t="n">
        <v>18</v>
      </c>
      <c r="K47" s="4" t="n">
        <v>17</v>
      </c>
      <c r="L47" s="4" t="inlineStr">
        <is>
          <t>GV_GDKTPL_01</t>
        </is>
      </c>
      <c r="M47" s="4" t="inlineStr">
        <is>
          <t>L? Thu Ph??ng</t>
        </is>
      </c>
      <c r="N47" s="4" t="n">
        <v>17</v>
      </c>
      <c r="O47" s="4" t="inlineStr">
        <is>
          <t>GV_GDKTPL_01</t>
        </is>
      </c>
      <c r="P47" s="4" t="inlineStr">
        <is>
          <t>L? Thu Ph??ng</t>
        </is>
      </c>
      <c r="Q47" s="4" t="n">
        <v>17</v>
      </c>
      <c r="R47" s="4" t="inlineStr"/>
    </row>
    <row r="48">
      <c r="A48" s="4" t="n">
        <v>46</v>
      </c>
      <c r="B48" s="4" t="inlineStr">
        <is>
          <t>2026-2027</t>
        </is>
      </c>
      <c r="C48" s="4" t="n">
        <v>11</v>
      </c>
      <c r="D48" s="4" t="inlineStr">
        <is>
          <t>11A1</t>
        </is>
      </c>
      <c r="E48" s="4" t="inlineStr">
        <is>
          <t>TH5</t>
        </is>
      </c>
      <c r="F48" s="4" t="inlineStr">
        <is>
          <t>NV</t>
        </is>
      </c>
      <c r="G48" s="4" t="inlineStr">
        <is>
          <t>Ng? v?n</t>
        </is>
      </c>
      <c r="H48" s="4" t="inlineStr">
        <is>
          <t>B?t bu?c</t>
        </is>
      </c>
      <c r="I48" s="4" t="n">
        <v>105</v>
      </c>
      <c r="J48" s="4" t="n">
        <v>54</v>
      </c>
      <c r="K48" s="4" t="n">
        <v>51</v>
      </c>
      <c r="L48" s="4" t="inlineStr">
        <is>
          <t>GV_NV_01</t>
        </is>
      </c>
      <c r="M48" s="4" t="inlineStr">
        <is>
          <t>Nguy?n Th? Lan</t>
        </is>
      </c>
      <c r="N48" s="4" t="n">
        <v>17</v>
      </c>
      <c r="O48" s="4" t="inlineStr">
        <is>
          <t>GV_NV_01</t>
        </is>
      </c>
      <c r="P48" s="4" t="inlineStr">
        <is>
          <t>Nguy?n Th? Lan</t>
        </is>
      </c>
      <c r="Q48" s="4" t="n">
        <v>17</v>
      </c>
      <c r="R48" s="4" t="inlineStr"/>
    </row>
    <row r="49">
      <c r="A49" s="4" t="n">
        <v>47</v>
      </c>
      <c r="B49" s="4" t="inlineStr">
        <is>
          <t>2026-2027</t>
        </is>
      </c>
      <c r="C49" s="4" t="n">
        <v>11</v>
      </c>
      <c r="D49" s="4" t="inlineStr">
        <is>
          <t>11A1</t>
        </is>
      </c>
      <c r="E49" s="4" t="inlineStr">
        <is>
          <t>TH5</t>
        </is>
      </c>
      <c r="F49" s="4" t="inlineStr">
        <is>
          <t>TOAN</t>
        </is>
      </c>
      <c r="G49" s="4" t="inlineStr">
        <is>
          <t>To?n</t>
        </is>
      </c>
      <c r="H49" s="4" t="inlineStr">
        <is>
          <t>B?t bu?c</t>
        </is>
      </c>
      <c r="I49" s="4" t="n">
        <v>105</v>
      </c>
      <c r="J49" s="4" t="n">
        <v>54</v>
      </c>
      <c r="K49" s="4" t="n">
        <v>51</v>
      </c>
      <c r="L49" s="4" t="inlineStr">
        <is>
          <t>GV_TOAN_01</t>
        </is>
      </c>
      <c r="M49" s="4" t="inlineStr">
        <is>
          <t>L? Quang Minh</t>
        </is>
      </c>
      <c r="N49" s="4" t="n">
        <v>17</v>
      </c>
      <c r="O49" s="4" t="inlineStr">
        <is>
          <t>GV_TOAN_01</t>
        </is>
      </c>
      <c r="P49" s="4" t="inlineStr">
        <is>
          <t>L? Quang Minh</t>
        </is>
      </c>
      <c r="Q49" s="4" t="n">
        <v>17</v>
      </c>
      <c r="R49" s="4" t="inlineStr"/>
    </row>
    <row r="50">
      <c r="A50" s="4" t="n">
        <v>48</v>
      </c>
      <c r="B50" s="4" t="inlineStr">
        <is>
          <t>2026-2027</t>
        </is>
      </c>
      <c r="C50" s="4" t="n">
        <v>11</v>
      </c>
      <c r="D50" s="4" t="inlineStr">
        <is>
          <t>11A1</t>
        </is>
      </c>
      <c r="E50" s="4" t="inlineStr">
        <is>
          <t>TH5</t>
        </is>
      </c>
      <c r="F50" s="4" t="inlineStr">
        <is>
          <t>ANH</t>
        </is>
      </c>
      <c r="G50" s="4" t="inlineStr">
        <is>
          <t>Ngo?i ng? 1</t>
        </is>
      </c>
      <c r="H50" s="4" t="inlineStr">
        <is>
          <t>B?t bu?c</t>
        </is>
      </c>
      <c r="I50" s="4" t="n">
        <v>105</v>
      </c>
      <c r="J50" s="4" t="n">
        <v>54</v>
      </c>
      <c r="K50" s="4" t="n">
        <v>51</v>
      </c>
      <c r="L50" s="4" t="inlineStr">
        <is>
          <t>GV_ANH_01</t>
        </is>
      </c>
      <c r="M50" s="4" t="inlineStr">
        <is>
          <t>Tr?n Ho?i An</t>
        </is>
      </c>
      <c r="N50" s="4" t="n">
        <v>17</v>
      </c>
      <c r="O50" s="4" t="inlineStr">
        <is>
          <t>GV_ANH_01</t>
        </is>
      </c>
      <c r="P50" s="4" t="inlineStr">
        <is>
          <t>Tr?n Ho?i An</t>
        </is>
      </c>
      <c r="Q50" s="4" t="n">
        <v>17</v>
      </c>
      <c r="R50" s="4" t="inlineStr"/>
    </row>
    <row r="51">
      <c r="A51" s="4" t="n">
        <v>49</v>
      </c>
      <c r="B51" s="4" t="inlineStr">
        <is>
          <t>2026-2027</t>
        </is>
      </c>
      <c r="C51" s="4" t="n">
        <v>11</v>
      </c>
      <c r="D51" s="4" t="inlineStr">
        <is>
          <t>11A1</t>
        </is>
      </c>
      <c r="E51" s="4" t="inlineStr">
        <is>
          <t>TH5</t>
        </is>
      </c>
      <c r="F51" s="4" t="inlineStr">
        <is>
          <t>LS</t>
        </is>
      </c>
      <c r="G51" s="4" t="inlineStr">
        <is>
          <t>L?ch s?</t>
        </is>
      </c>
      <c r="H51" s="4" t="inlineStr">
        <is>
          <t>B?t bu?c</t>
        </is>
      </c>
      <c r="I51" s="4" t="n">
        <v>52</v>
      </c>
      <c r="J51" s="4" t="n">
        <v>27</v>
      </c>
      <c r="K51" s="4" t="n">
        <v>25</v>
      </c>
      <c r="L51" s="4" t="inlineStr">
        <is>
          <t>GV_LS_01</t>
        </is>
      </c>
      <c r="M51" s="4" t="inlineStr">
        <is>
          <t>??ng Th? H?a</t>
        </is>
      </c>
      <c r="N51" s="4" t="n">
        <v>17</v>
      </c>
      <c r="O51" s="4" t="inlineStr">
        <is>
          <t>GV_LS_01</t>
        </is>
      </c>
      <c r="P51" s="4" t="inlineStr">
        <is>
          <t>??ng Th? H?a</t>
        </is>
      </c>
      <c r="Q51" s="4" t="n">
        <v>17</v>
      </c>
      <c r="R51" s="4" t="inlineStr"/>
    </row>
    <row r="52">
      <c r="A52" s="4" t="n">
        <v>50</v>
      </c>
      <c r="B52" s="4" t="inlineStr">
        <is>
          <t>2026-2027</t>
        </is>
      </c>
      <c r="C52" s="4" t="n">
        <v>11</v>
      </c>
      <c r="D52" s="4" t="inlineStr">
        <is>
          <t>11A1</t>
        </is>
      </c>
      <c r="E52" s="4" t="inlineStr">
        <is>
          <t>TH5</t>
        </is>
      </c>
      <c r="F52" s="4" t="inlineStr">
        <is>
          <t>GDTC</t>
        </is>
      </c>
      <c r="G52" s="4" t="inlineStr">
        <is>
          <t>Gi?o d?c th? ch?t</t>
        </is>
      </c>
      <c r="H52" s="4" t="inlineStr">
        <is>
          <t>B?t bu?c</t>
        </is>
      </c>
      <c r="I52" s="4" t="n">
        <v>70</v>
      </c>
      <c r="J52" s="4" t="n">
        <v>36</v>
      </c>
      <c r="K52" s="4" t="n">
        <v>34</v>
      </c>
      <c r="L52" s="4" t="inlineStr">
        <is>
          <t>GV_GDTC_01</t>
        </is>
      </c>
      <c r="M52" s="4" t="inlineStr">
        <is>
          <t>Ph?m V?n D?ng</t>
        </is>
      </c>
      <c r="N52" s="4" t="n">
        <v>17</v>
      </c>
      <c r="O52" s="4" t="inlineStr">
        <is>
          <t>GV_GDTC_01</t>
        </is>
      </c>
      <c r="P52" s="4" t="inlineStr">
        <is>
          <t>Ph?m V?n D?ng</t>
        </is>
      </c>
      <c r="Q52" s="4" t="n">
        <v>17</v>
      </c>
      <c r="R52" s="4" t="inlineStr"/>
    </row>
    <row r="53">
      <c r="A53" s="4" t="n">
        <v>51</v>
      </c>
      <c r="B53" s="4" t="inlineStr">
        <is>
          <t>2026-2027</t>
        </is>
      </c>
      <c r="C53" s="4" t="n">
        <v>11</v>
      </c>
      <c r="D53" s="4" t="inlineStr">
        <is>
          <t>11A1</t>
        </is>
      </c>
      <c r="E53" s="4" t="inlineStr">
        <is>
          <t>TH5</t>
        </is>
      </c>
      <c r="F53" s="4" t="inlineStr">
        <is>
          <t>GDQPAN</t>
        </is>
      </c>
      <c r="G53" s="4" t="inlineStr">
        <is>
          <t>Gi?o d?c qu?c ph?ng v? an ninh</t>
        </is>
      </c>
      <c r="H53" s="4" t="inlineStr">
        <is>
          <t>B?t bu?c</t>
        </is>
      </c>
      <c r="I53" s="4" t="n">
        <v>35</v>
      </c>
      <c r="J53" s="4" t="n">
        <v>18</v>
      </c>
      <c r="K53" s="4" t="n">
        <v>17</v>
      </c>
      <c r="L53" s="4" t="inlineStr">
        <is>
          <t>GV_QPAN_01</t>
        </is>
      </c>
      <c r="M53" s="4" t="inlineStr">
        <is>
          <t>Nguy?n Qu?c Vi?t</t>
        </is>
      </c>
      <c r="N53" s="4" t="n">
        <v>17</v>
      </c>
      <c r="O53" s="4" t="inlineStr">
        <is>
          <t>GV_QPAN_01</t>
        </is>
      </c>
      <c r="P53" s="4" t="inlineStr">
        <is>
          <t>Nguy?n Qu?c Vi?t</t>
        </is>
      </c>
      <c r="Q53" s="4" t="n">
        <v>17</v>
      </c>
      <c r="R53" s="4" t="inlineStr"/>
    </row>
    <row r="54">
      <c r="A54" s="4" t="n">
        <v>52</v>
      </c>
      <c r="B54" s="4" t="inlineStr">
        <is>
          <t>2026-2027</t>
        </is>
      </c>
      <c r="C54" s="4" t="n">
        <v>11</v>
      </c>
      <c r="D54" s="4" t="inlineStr">
        <is>
          <t>11A1</t>
        </is>
      </c>
      <c r="E54" s="4" t="inlineStr">
        <is>
          <t>TH5</t>
        </is>
      </c>
      <c r="F54" s="4" t="inlineStr">
        <is>
          <t>HDTNHN</t>
        </is>
      </c>
      <c r="G54" s="4" t="inlineStr">
        <is>
          <t>Ho?t ??ng tr?i nghi?m, h??ng nghi?p</t>
        </is>
      </c>
      <c r="H54" s="4" t="inlineStr">
        <is>
          <t>B?t bu?c</t>
        </is>
      </c>
      <c r="I54" s="4" t="n">
        <v>105</v>
      </c>
      <c r="J54" s="4" t="n">
        <v>54</v>
      </c>
      <c r="K54" s="4" t="n">
        <v>51</v>
      </c>
      <c r="L54" s="4" t="inlineStr">
        <is>
          <t>GV_VL_01</t>
        </is>
      </c>
      <c r="M54" s="4" t="inlineStr">
        <is>
          <t>Phan Qu?c B?o</t>
        </is>
      </c>
      <c r="N54" s="4" t="n">
        <v>17</v>
      </c>
      <c r="O54" s="4" t="inlineStr">
        <is>
          <t>GV_VL_01</t>
        </is>
      </c>
      <c r="P54" s="4" t="inlineStr">
        <is>
          <t>Phan Qu?c B?o</t>
        </is>
      </c>
      <c r="Q54" s="4" t="n">
        <v>17</v>
      </c>
      <c r="R54" s="4" t="inlineStr"/>
    </row>
    <row r="55">
      <c r="A55" s="4" t="n">
        <v>53</v>
      </c>
      <c r="B55" s="4" t="inlineStr">
        <is>
          <t>2026-2027</t>
        </is>
      </c>
      <c r="C55" s="4" t="n">
        <v>11</v>
      </c>
      <c r="D55" s="4" t="inlineStr">
        <is>
          <t>11A1</t>
        </is>
      </c>
      <c r="E55" s="4" t="inlineStr">
        <is>
          <t>TH5</t>
        </is>
      </c>
      <c r="F55" s="4" t="inlineStr">
        <is>
          <t>GDDP</t>
        </is>
      </c>
      <c r="G55" s="4" t="inlineStr">
        <is>
          <t>N?i dung gi?o d?c c?a ??a ph??ng</t>
        </is>
      </c>
      <c r="H55" s="4" t="inlineStr">
        <is>
          <t>B?t bu?c</t>
        </is>
      </c>
      <c r="I55" s="4" t="n">
        <v>35</v>
      </c>
      <c r="J55" s="4" t="n">
        <v>18</v>
      </c>
      <c r="K55" s="4" t="n">
        <v>17</v>
      </c>
      <c r="L55" s="4" t="inlineStr">
        <is>
          <t>GV_DL_01</t>
        </is>
      </c>
      <c r="M55" s="4" t="inlineStr">
        <is>
          <t>Ho?ng Ng?c S?n</t>
        </is>
      </c>
      <c r="N55" s="4" t="n">
        <v>17</v>
      </c>
      <c r="O55" s="4" t="inlineStr">
        <is>
          <t>GV_DL_01</t>
        </is>
      </c>
      <c r="P55" s="4" t="inlineStr">
        <is>
          <t>Ho?ng Ng?c S?n</t>
        </is>
      </c>
      <c r="Q55" s="4" t="n">
        <v>17</v>
      </c>
      <c r="R55" s="4" t="inlineStr"/>
    </row>
    <row r="56">
      <c r="A56" s="4" t="n">
        <v>54</v>
      </c>
      <c r="B56" s="4" t="inlineStr">
        <is>
          <t>2026-2027</t>
        </is>
      </c>
      <c r="C56" s="4" t="n">
        <v>11</v>
      </c>
      <c r="D56" s="4" t="inlineStr">
        <is>
          <t>11A1</t>
        </is>
      </c>
      <c r="E56" s="4" t="inlineStr">
        <is>
          <t>TH5</t>
        </is>
      </c>
      <c r="F56" s="4" t="inlineStr">
        <is>
          <t>VL</t>
        </is>
      </c>
      <c r="G56" s="4" t="inlineStr">
        <is>
          <t>V?t l?</t>
        </is>
      </c>
      <c r="H56" s="4" t="inlineStr">
        <is>
          <t>L?a ch?n</t>
        </is>
      </c>
      <c r="I56" s="4" t="n">
        <v>70</v>
      </c>
      <c r="J56" s="4" t="n">
        <v>36</v>
      </c>
      <c r="K56" s="4" t="n">
        <v>34</v>
      </c>
      <c r="L56" s="4" t="inlineStr">
        <is>
          <t>GV_VL_01</t>
        </is>
      </c>
      <c r="M56" s="4" t="inlineStr">
        <is>
          <t>Phan Qu?c B?o</t>
        </is>
      </c>
      <c r="N56" s="4" t="n">
        <v>17</v>
      </c>
      <c r="O56" s="4" t="inlineStr">
        <is>
          <t>GV_VL_01</t>
        </is>
      </c>
      <c r="P56" s="4" t="inlineStr">
        <is>
          <t>Phan Qu?c B?o</t>
        </is>
      </c>
      <c r="Q56" s="4" t="n">
        <v>17</v>
      </c>
      <c r="R56" s="4" t="inlineStr"/>
    </row>
    <row r="57">
      <c r="A57" s="4" t="n">
        <v>55</v>
      </c>
      <c r="B57" s="4" t="inlineStr">
        <is>
          <t>2026-2027</t>
        </is>
      </c>
      <c r="C57" s="4" t="n">
        <v>11</v>
      </c>
      <c r="D57" s="4" t="inlineStr">
        <is>
          <t>11A1</t>
        </is>
      </c>
      <c r="E57" s="4" t="inlineStr">
        <is>
          <t>TH5</t>
        </is>
      </c>
      <c r="F57" s="4" t="inlineStr">
        <is>
          <t>HH</t>
        </is>
      </c>
      <c r="G57" s="4" t="inlineStr">
        <is>
          <t>H?a h?c</t>
        </is>
      </c>
      <c r="H57" s="4" t="inlineStr">
        <is>
          <t>L?a ch?n</t>
        </is>
      </c>
      <c r="I57" s="4" t="n">
        <v>70</v>
      </c>
      <c r="J57" s="4" t="n">
        <v>36</v>
      </c>
      <c r="K57" s="4" t="n">
        <v>34</v>
      </c>
      <c r="L57" s="4" t="inlineStr">
        <is>
          <t>GV_HH_01</t>
        </is>
      </c>
      <c r="M57" s="4" t="inlineStr">
        <is>
          <t>Tr?nh Thu Trang</t>
        </is>
      </c>
      <c r="N57" s="4" t="n">
        <v>17</v>
      </c>
      <c r="O57" s="4" t="inlineStr">
        <is>
          <t>GV_HH_01</t>
        </is>
      </c>
      <c r="P57" s="4" t="inlineStr">
        <is>
          <t>Tr?nh Thu Trang</t>
        </is>
      </c>
      <c r="Q57" s="4" t="n">
        <v>17</v>
      </c>
      <c r="R57" s="4" t="inlineStr"/>
    </row>
    <row r="58">
      <c r="A58" s="4" t="n">
        <v>56</v>
      </c>
      <c r="B58" s="4" t="inlineStr">
        <is>
          <t>2026-2027</t>
        </is>
      </c>
      <c r="C58" s="4" t="n">
        <v>11</v>
      </c>
      <c r="D58" s="4" t="inlineStr">
        <is>
          <t>11A1</t>
        </is>
      </c>
      <c r="E58" s="4" t="inlineStr">
        <is>
          <t>TH5</t>
        </is>
      </c>
      <c r="F58" s="4" t="inlineStr">
        <is>
          <t>TH</t>
        </is>
      </c>
      <c r="G58" s="4" t="inlineStr">
        <is>
          <t>Tin h?c</t>
        </is>
      </c>
      <c r="H58" s="4" t="inlineStr">
        <is>
          <t>L?a ch?n</t>
        </is>
      </c>
      <c r="I58" s="4" t="n">
        <v>70</v>
      </c>
      <c r="J58" s="4" t="n">
        <v>36</v>
      </c>
      <c r="K58" s="4" t="n">
        <v>34</v>
      </c>
      <c r="L58" s="4" t="inlineStr">
        <is>
          <t>GV_TH_01</t>
        </is>
      </c>
      <c r="M58" s="4" t="inlineStr">
        <is>
          <t>Ph?m ??c Anh</t>
        </is>
      </c>
      <c r="N58" s="4" t="n">
        <v>17</v>
      </c>
      <c r="O58" s="4" t="inlineStr">
        <is>
          <t>GV_TH_01</t>
        </is>
      </c>
      <c r="P58" s="4" t="inlineStr">
        <is>
          <t>Ph?m ??c Anh</t>
        </is>
      </c>
      <c r="Q58" s="4" t="n">
        <v>17</v>
      </c>
      <c r="R58" s="4" t="inlineStr"/>
    </row>
    <row r="59">
      <c r="A59" s="4" t="n">
        <v>57</v>
      </c>
      <c r="B59" s="4" t="inlineStr">
        <is>
          <t>2026-2027</t>
        </is>
      </c>
      <c r="C59" s="4" t="n">
        <v>11</v>
      </c>
      <c r="D59" s="4" t="inlineStr">
        <is>
          <t>11A1</t>
        </is>
      </c>
      <c r="E59" s="4" t="inlineStr">
        <is>
          <t>TH5</t>
        </is>
      </c>
      <c r="F59" s="4" t="inlineStr">
        <is>
          <t>CN</t>
        </is>
      </c>
      <c r="G59" s="4" t="inlineStr">
        <is>
          <t>C?ng ngh?</t>
        </is>
      </c>
      <c r="H59" s="4" t="inlineStr">
        <is>
          <t>L?a ch?n</t>
        </is>
      </c>
      <c r="I59" s="4" t="n">
        <v>70</v>
      </c>
      <c r="J59" s="4" t="n">
        <v>36</v>
      </c>
      <c r="K59" s="4" t="n">
        <v>34</v>
      </c>
      <c r="L59" s="4" t="inlineStr">
        <is>
          <t>GV_CN_01</t>
        </is>
      </c>
      <c r="M59" s="4" t="inlineStr">
        <is>
          <t>Nguy?n H?u Ph?c</t>
        </is>
      </c>
      <c r="N59" s="4" t="n">
        <v>17</v>
      </c>
      <c r="O59" s="4" t="inlineStr">
        <is>
          <t>GV_CN_01</t>
        </is>
      </c>
      <c r="P59" s="4" t="inlineStr">
        <is>
          <t>Nguy?n H?u Ph?c</t>
        </is>
      </c>
      <c r="Q59" s="4" t="n">
        <v>17</v>
      </c>
      <c r="R59" s="4" t="inlineStr"/>
    </row>
    <row r="60">
      <c r="A60" s="4" t="n">
        <v>58</v>
      </c>
      <c r="B60" s="4" t="inlineStr">
        <is>
          <t>2026-2027</t>
        </is>
      </c>
      <c r="C60" s="4" t="n">
        <v>11</v>
      </c>
      <c r="D60" s="4" t="inlineStr">
        <is>
          <t>11A1</t>
        </is>
      </c>
      <c r="E60" s="4" t="inlineStr">
        <is>
          <t>TH5</t>
        </is>
      </c>
      <c r="F60" s="4" t="inlineStr">
        <is>
          <t>CD_TOAN</t>
        </is>
      </c>
      <c r="G60" s="4" t="inlineStr">
        <is>
          <t>Chuy?n ?? h?c t?p To?n</t>
        </is>
      </c>
      <c r="H60" s="4" t="inlineStr">
        <is>
          <t>Chuy?n ??</t>
        </is>
      </c>
      <c r="I60" s="4" t="n">
        <v>35</v>
      </c>
      <c r="J60" s="4" t="n">
        <v>18</v>
      </c>
      <c r="K60" s="4" t="n">
        <v>17</v>
      </c>
      <c r="L60" s="4" t="inlineStr">
        <is>
          <t>GV_TOAN_01</t>
        </is>
      </c>
      <c r="M60" s="4" t="inlineStr">
        <is>
          <t>L? Quang Minh</t>
        </is>
      </c>
      <c r="N60" s="4" t="n">
        <v>17</v>
      </c>
      <c r="O60" s="4" t="inlineStr">
        <is>
          <t>GV_TOAN_01</t>
        </is>
      </c>
      <c r="P60" s="4" t="inlineStr">
        <is>
          <t>L? Quang Minh</t>
        </is>
      </c>
      <c r="Q60" s="4" t="n">
        <v>17</v>
      </c>
      <c r="R60" s="4" t="inlineStr"/>
    </row>
    <row r="61">
      <c r="A61" s="4" t="n">
        <v>59</v>
      </c>
      <c r="B61" s="4" t="inlineStr">
        <is>
          <t>2026-2027</t>
        </is>
      </c>
      <c r="C61" s="4" t="n">
        <v>11</v>
      </c>
      <c r="D61" s="4" t="inlineStr">
        <is>
          <t>11A1</t>
        </is>
      </c>
      <c r="E61" s="4" t="inlineStr">
        <is>
          <t>TH5</t>
        </is>
      </c>
      <c r="F61" s="4" t="inlineStr">
        <is>
          <t>CD_VL</t>
        </is>
      </c>
      <c r="G61" s="4" t="inlineStr">
        <is>
          <t>Chuy?n ?? h?c t?p V?t l?</t>
        </is>
      </c>
      <c r="H61" s="4" t="inlineStr">
        <is>
          <t>Chuy?n ??</t>
        </is>
      </c>
      <c r="I61" s="4" t="n">
        <v>35</v>
      </c>
      <c r="J61" s="4" t="n">
        <v>18</v>
      </c>
      <c r="K61" s="4" t="n">
        <v>17</v>
      </c>
      <c r="L61" s="4" t="inlineStr">
        <is>
          <t>GV_VL_01</t>
        </is>
      </c>
      <c r="M61" s="4" t="inlineStr">
        <is>
          <t>Phan Qu?c B?o</t>
        </is>
      </c>
      <c r="N61" s="4" t="n">
        <v>17</v>
      </c>
      <c r="O61" s="4" t="inlineStr">
        <is>
          <t>GV_VL_01</t>
        </is>
      </c>
      <c r="P61" s="4" t="inlineStr">
        <is>
          <t>Phan Qu?c B?o</t>
        </is>
      </c>
      <c r="Q61" s="4" t="n">
        <v>17</v>
      </c>
      <c r="R61" s="4" t="inlineStr"/>
    </row>
    <row r="62">
      <c r="A62" s="4" t="n">
        <v>60</v>
      </c>
      <c r="B62" s="4" t="inlineStr">
        <is>
          <t>2026-2027</t>
        </is>
      </c>
      <c r="C62" s="4" t="n">
        <v>11</v>
      </c>
      <c r="D62" s="4" t="inlineStr">
        <is>
          <t>11A1</t>
        </is>
      </c>
      <c r="E62" s="4" t="inlineStr">
        <is>
          <t>TH5</t>
        </is>
      </c>
      <c r="F62" s="4" t="inlineStr">
        <is>
          <t>CD_CN</t>
        </is>
      </c>
      <c r="G62" s="4" t="inlineStr">
        <is>
          <t>Chuy?n ?? h?c t?p C?ng ngh?</t>
        </is>
      </c>
      <c r="H62" s="4" t="inlineStr">
        <is>
          <t>Chuy?n ??</t>
        </is>
      </c>
      <c r="I62" s="4" t="n">
        <v>35</v>
      </c>
      <c r="J62" s="4" t="n">
        <v>18</v>
      </c>
      <c r="K62" s="4" t="n">
        <v>17</v>
      </c>
      <c r="L62" s="4" t="inlineStr">
        <is>
          <t>GV_CN_01</t>
        </is>
      </c>
      <c r="M62" s="4" t="inlineStr">
        <is>
          <t>Nguy?n H?u Ph?c</t>
        </is>
      </c>
      <c r="N62" s="4" t="n">
        <v>17</v>
      </c>
      <c r="O62" s="4" t="inlineStr">
        <is>
          <t>GV_CN_01</t>
        </is>
      </c>
      <c r="P62" s="4" t="inlineStr">
        <is>
          <t>Nguy?n H?u Ph?c</t>
        </is>
      </c>
      <c r="Q62" s="4" t="n">
        <v>17</v>
      </c>
      <c r="R62" s="4" t="inlineStr"/>
    </row>
    <row r="63">
      <c r="A63" s="4" t="n">
        <v>61</v>
      </c>
      <c r="B63" s="4" t="inlineStr">
        <is>
          <t>2026-2027</t>
        </is>
      </c>
      <c r="C63" s="4" t="n">
        <v>11</v>
      </c>
      <c r="D63" s="4" t="inlineStr">
        <is>
          <t>11D1</t>
        </is>
      </c>
      <c r="E63" s="4" t="inlineStr">
        <is>
          <t>TH3</t>
        </is>
      </c>
      <c r="F63" s="4" t="inlineStr">
        <is>
          <t>NV</t>
        </is>
      </c>
      <c r="G63" s="4" t="inlineStr">
        <is>
          <t>Ng? v?n</t>
        </is>
      </c>
      <c r="H63" s="4" t="inlineStr">
        <is>
          <t>B?t bu?c</t>
        </is>
      </c>
      <c r="I63" s="4" t="n">
        <v>105</v>
      </c>
      <c r="J63" s="4" t="n">
        <v>54</v>
      </c>
      <c r="K63" s="4" t="n">
        <v>51</v>
      </c>
      <c r="L63" s="4" t="inlineStr">
        <is>
          <t>GV_NV_02</t>
        </is>
      </c>
      <c r="M63" s="4" t="inlineStr">
        <is>
          <t>Ph?m Thu H?</t>
        </is>
      </c>
      <c r="N63" s="4" t="n">
        <v>17</v>
      </c>
      <c r="O63" s="4" t="inlineStr">
        <is>
          <t>GV_NV_02</t>
        </is>
      </c>
      <c r="P63" s="4" t="inlineStr">
        <is>
          <t>Ph?m Thu H?</t>
        </is>
      </c>
      <c r="Q63" s="4" t="n">
        <v>17</v>
      </c>
      <c r="R63" s="4" t="inlineStr"/>
    </row>
    <row r="64">
      <c r="A64" s="4" t="n">
        <v>62</v>
      </c>
      <c r="B64" s="4" t="inlineStr">
        <is>
          <t>2026-2027</t>
        </is>
      </c>
      <c r="C64" s="4" t="n">
        <v>11</v>
      </c>
      <c r="D64" s="4" t="inlineStr">
        <is>
          <t>11D1</t>
        </is>
      </c>
      <c r="E64" s="4" t="inlineStr">
        <is>
          <t>TH3</t>
        </is>
      </c>
      <c r="F64" s="4" t="inlineStr">
        <is>
          <t>TOAN</t>
        </is>
      </c>
      <c r="G64" s="4" t="inlineStr">
        <is>
          <t>To?n</t>
        </is>
      </c>
      <c r="H64" s="4" t="inlineStr">
        <is>
          <t>B?t bu?c</t>
        </is>
      </c>
      <c r="I64" s="4" t="n">
        <v>105</v>
      </c>
      <c r="J64" s="4" t="n">
        <v>54</v>
      </c>
      <c r="K64" s="4" t="n">
        <v>51</v>
      </c>
      <c r="L64" s="4" t="inlineStr">
        <is>
          <t>GV_TOAN_02</t>
        </is>
      </c>
      <c r="M64" s="4" t="inlineStr">
        <is>
          <t>V? Th? H??ng</t>
        </is>
      </c>
      <c r="N64" s="4" t="n">
        <v>16</v>
      </c>
      <c r="O64" s="4" t="inlineStr">
        <is>
          <t>GV_TOAN_02</t>
        </is>
      </c>
      <c r="P64" s="4" t="inlineStr">
        <is>
          <t>V? Th? H??ng</t>
        </is>
      </c>
      <c r="Q64" s="4" t="n">
        <v>16</v>
      </c>
      <c r="R64" s="4" t="inlineStr"/>
    </row>
    <row r="65">
      <c r="A65" s="4" t="n">
        <v>63</v>
      </c>
      <c r="B65" s="4" t="inlineStr">
        <is>
          <t>2026-2027</t>
        </is>
      </c>
      <c r="C65" s="4" t="n">
        <v>11</v>
      </c>
      <c r="D65" s="4" t="inlineStr">
        <is>
          <t>11D1</t>
        </is>
      </c>
      <c r="E65" s="4" t="inlineStr">
        <is>
          <t>TH3</t>
        </is>
      </c>
      <c r="F65" s="4" t="inlineStr">
        <is>
          <t>ANH</t>
        </is>
      </c>
      <c r="G65" s="4" t="inlineStr">
        <is>
          <t>Ngo?i ng? 1</t>
        </is>
      </c>
      <c r="H65" s="4" t="inlineStr">
        <is>
          <t>B?t bu?c</t>
        </is>
      </c>
      <c r="I65" s="4" t="n">
        <v>105</v>
      </c>
      <c r="J65" s="4" t="n">
        <v>54</v>
      </c>
      <c r="K65" s="4" t="n">
        <v>51</v>
      </c>
      <c r="L65" s="4" t="inlineStr">
        <is>
          <t>GV_ANH_02</t>
        </is>
      </c>
      <c r="M65" s="4" t="inlineStr">
        <is>
          <t>??o Kh?nh Linh</t>
        </is>
      </c>
      <c r="N65" s="4" t="n">
        <v>17</v>
      </c>
      <c r="O65" s="4" t="inlineStr">
        <is>
          <t>GV_ANH_02</t>
        </is>
      </c>
      <c r="P65" s="4" t="inlineStr">
        <is>
          <t>??o Kh?nh Linh</t>
        </is>
      </c>
      <c r="Q65" s="4" t="n">
        <v>17</v>
      </c>
      <c r="R65" s="4" t="inlineStr"/>
    </row>
    <row r="66">
      <c r="A66" s="4" t="n">
        <v>64</v>
      </c>
      <c r="B66" s="4" t="inlineStr">
        <is>
          <t>2026-2027</t>
        </is>
      </c>
      <c r="C66" s="4" t="n">
        <v>11</v>
      </c>
      <c r="D66" s="4" t="inlineStr">
        <is>
          <t>11D1</t>
        </is>
      </c>
      <c r="E66" s="4" t="inlineStr">
        <is>
          <t>TH3</t>
        </is>
      </c>
      <c r="F66" s="4" t="inlineStr">
        <is>
          <t>LS</t>
        </is>
      </c>
      <c r="G66" s="4" t="inlineStr">
        <is>
          <t>L?ch s?</t>
        </is>
      </c>
      <c r="H66" s="4" t="inlineStr">
        <is>
          <t>B?t bu?c</t>
        </is>
      </c>
      <c r="I66" s="4" t="n">
        <v>52</v>
      </c>
      <c r="J66" s="4" t="n">
        <v>27</v>
      </c>
      <c r="K66" s="4" t="n">
        <v>25</v>
      </c>
      <c r="L66" s="4" t="inlineStr">
        <is>
          <t>GV_LS_01</t>
        </is>
      </c>
      <c r="M66" s="4" t="inlineStr">
        <is>
          <t>??ng Th? H?a</t>
        </is>
      </c>
      <c r="N66" s="4" t="n">
        <v>17</v>
      </c>
      <c r="O66" s="4" t="inlineStr">
        <is>
          <t>GV_LS_01</t>
        </is>
      </c>
      <c r="P66" s="4" t="inlineStr">
        <is>
          <t>??ng Th? H?a</t>
        </is>
      </c>
      <c r="Q66" s="4" t="n">
        <v>17</v>
      </c>
      <c r="R66" s="4" t="inlineStr"/>
    </row>
    <row r="67">
      <c r="A67" s="4" t="n">
        <v>65</v>
      </c>
      <c r="B67" s="4" t="inlineStr">
        <is>
          <t>2026-2027</t>
        </is>
      </c>
      <c r="C67" s="4" t="n">
        <v>11</v>
      </c>
      <c r="D67" s="4" t="inlineStr">
        <is>
          <t>11D1</t>
        </is>
      </c>
      <c r="E67" s="4" t="inlineStr">
        <is>
          <t>TH3</t>
        </is>
      </c>
      <c r="F67" s="4" t="inlineStr">
        <is>
          <t>GDTC</t>
        </is>
      </c>
      <c r="G67" s="4" t="inlineStr">
        <is>
          <t>Gi?o d?c th? ch?t</t>
        </is>
      </c>
      <c r="H67" s="4" t="inlineStr">
        <is>
          <t>B?t bu?c</t>
        </is>
      </c>
      <c r="I67" s="4" t="n">
        <v>70</v>
      </c>
      <c r="J67" s="4" t="n">
        <v>36</v>
      </c>
      <c r="K67" s="4" t="n">
        <v>34</v>
      </c>
      <c r="L67" s="4" t="inlineStr">
        <is>
          <t>GV_GDTC_01</t>
        </is>
      </c>
      <c r="M67" s="4" t="inlineStr">
        <is>
          <t>Ph?m V?n D?ng</t>
        </is>
      </c>
      <c r="N67" s="4" t="n">
        <v>17</v>
      </c>
      <c r="O67" s="4" t="inlineStr">
        <is>
          <t>GV_GDTC_01</t>
        </is>
      </c>
      <c r="P67" s="4" t="inlineStr">
        <is>
          <t>Ph?m V?n D?ng</t>
        </is>
      </c>
      <c r="Q67" s="4" t="n">
        <v>17</v>
      </c>
      <c r="R67" s="4" t="inlineStr"/>
    </row>
    <row r="68">
      <c r="A68" s="4" t="n">
        <v>66</v>
      </c>
      <c r="B68" s="4" t="inlineStr">
        <is>
          <t>2026-2027</t>
        </is>
      </c>
      <c r="C68" s="4" t="n">
        <v>11</v>
      </c>
      <c r="D68" s="4" t="inlineStr">
        <is>
          <t>11D1</t>
        </is>
      </c>
      <c r="E68" s="4" t="inlineStr">
        <is>
          <t>TH3</t>
        </is>
      </c>
      <c r="F68" s="4" t="inlineStr">
        <is>
          <t>GDQPAN</t>
        </is>
      </c>
      <c r="G68" s="4" t="inlineStr">
        <is>
          <t>Gi?o d?c qu?c ph?ng v? an ninh</t>
        </is>
      </c>
      <c r="H68" s="4" t="inlineStr">
        <is>
          <t>B?t bu?c</t>
        </is>
      </c>
      <c r="I68" s="4" t="n">
        <v>35</v>
      </c>
      <c r="J68" s="4" t="n">
        <v>18</v>
      </c>
      <c r="K68" s="4" t="n">
        <v>17</v>
      </c>
      <c r="L68" s="4" t="inlineStr">
        <is>
          <t>GV_QPAN_01</t>
        </is>
      </c>
      <c r="M68" s="4" t="inlineStr">
        <is>
          <t>Nguy?n Qu?c Vi?t</t>
        </is>
      </c>
      <c r="N68" s="4" t="n">
        <v>17</v>
      </c>
      <c r="O68" s="4" t="inlineStr">
        <is>
          <t>GV_QPAN_01</t>
        </is>
      </c>
      <c r="P68" s="4" t="inlineStr">
        <is>
          <t>Nguy?n Qu?c Vi?t</t>
        </is>
      </c>
      <c r="Q68" s="4" t="n">
        <v>17</v>
      </c>
      <c r="R68" s="4" t="inlineStr"/>
    </row>
    <row r="69">
      <c r="A69" s="4" t="n">
        <v>67</v>
      </c>
      <c r="B69" s="4" t="inlineStr">
        <is>
          <t>2026-2027</t>
        </is>
      </c>
      <c r="C69" s="4" t="n">
        <v>11</v>
      </c>
      <c r="D69" s="4" t="inlineStr">
        <is>
          <t>11D1</t>
        </is>
      </c>
      <c r="E69" s="4" t="inlineStr">
        <is>
          <t>TH3</t>
        </is>
      </c>
      <c r="F69" s="4" t="inlineStr">
        <is>
          <t>HDTNHN</t>
        </is>
      </c>
      <c r="G69" s="4" t="inlineStr">
        <is>
          <t>Ho?t ??ng tr?i nghi?m, h??ng nghi?p</t>
        </is>
      </c>
      <c r="H69" s="4" t="inlineStr">
        <is>
          <t>B?t bu?c</t>
        </is>
      </c>
      <c r="I69" s="4" t="n">
        <v>105</v>
      </c>
      <c r="J69" s="4" t="n">
        <v>54</v>
      </c>
      <c r="K69" s="4" t="n">
        <v>51</v>
      </c>
      <c r="L69" s="4" t="inlineStr">
        <is>
          <t>GV_NV_02</t>
        </is>
      </c>
      <c r="M69" s="4" t="inlineStr">
        <is>
          <t>Ph?m Thu H?</t>
        </is>
      </c>
      <c r="N69" s="4" t="n">
        <v>17</v>
      </c>
      <c r="O69" s="4" t="inlineStr">
        <is>
          <t>GV_NV_02</t>
        </is>
      </c>
      <c r="P69" s="4" t="inlineStr">
        <is>
          <t>Ph?m Thu H?</t>
        </is>
      </c>
      <c r="Q69" s="4" t="n">
        <v>17</v>
      </c>
      <c r="R69" s="4" t="inlineStr"/>
    </row>
    <row r="70">
      <c r="A70" s="4" t="n">
        <v>68</v>
      </c>
      <c r="B70" s="4" t="inlineStr">
        <is>
          <t>2026-2027</t>
        </is>
      </c>
      <c r="C70" s="4" t="n">
        <v>11</v>
      </c>
      <c r="D70" s="4" t="inlineStr">
        <is>
          <t>11D1</t>
        </is>
      </c>
      <c r="E70" s="4" t="inlineStr">
        <is>
          <t>TH3</t>
        </is>
      </c>
      <c r="F70" s="4" t="inlineStr">
        <is>
          <t>GDDP</t>
        </is>
      </c>
      <c r="G70" s="4" t="inlineStr">
        <is>
          <t>N?i dung gi?o d?c c?a ??a ph??ng</t>
        </is>
      </c>
      <c r="H70" s="4" t="inlineStr">
        <is>
          <t>B?t bu?c</t>
        </is>
      </c>
      <c r="I70" s="4" t="n">
        <v>35</v>
      </c>
      <c r="J70" s="4" t="n">
        <v>18</v>
      </c>
      <c r="K70" s="4" t="n">
        <v>17</v>
      </c>
      <c r="L70" s="4" t="inlineStr">
        <is>
          <t>GV_DL_01</t>
        </is>
      </c>
      <c r="M70" s="4" t="inlineStr">
        <is>
          <t>Ho?ng Ng?c S?n</t>
        </is>
      </c>
      <c r="N70" s="4" t="n">
        <v>17</v>
      </c>
      <c r="O70" s="4" t="inlineStr">
        <is>
          <t>GV_DL_01</t>
        </is>
      </c>
      <c r="P70" s="4" t="inlineStr">
        <is>
          <t>Ho?ng Ng?c S?n</t>
        </is>
      </c>
      <c r="Q70" s="4" t="n">
        <v>17</v>
      </c>
      <c r="R70" s="4" t="inlineStr"/>
    </row>
    <row r="71">
      <c r="A71" s="4" t="n">
        <v>69</v>
      </c>
      <c r="B71" s="4" t="inlineStr">
        <is>
          <t>2026-2027</t>
        </is>
      </c>
      <c r="C71" s="4" t="n">
        <v>11</v>
      </c>
      <c r="D71" s="4" t="inlineStr">
        <is>
          <t>11D1</t>
        </is>
      </c>
      <c r="E71" s="4" t="inlineStr">
        <is>
          <t>TH3</t>
        </is>
      </c>
      <c r="F71" s="4" t="inlineStr">
        <is>
          <t>DL</t>
        </is>
      </c>
      <c r="G71" s="4" t="inlineStr">
        <is>
          <t>??a l?</t>
        </is>
      </c>
      <c r="H71" s="4" t="inlineStr">
        <is>
          <t>L?a ch?n</t>
        </is>
      </c>
      <c r="I71" s="4" t="n">
        <v>70</v>
      </c>
      <c r="J71" s="4" t="n">
        <v>36</v>
      </c>
      <c r="K71" s="4" t="n">
        <v>34</v>
      </c>
      <c r="L71" s="4" t="inlineStr">
        <is>
          <t>GV_DL_01</t>
        </is>
      </c>
      <c r="M71" s="4" t="inlineStr">
        <is>
          <t>Ho?ng Ng?c S?n</t>
        </is>
      </c>
      <c r="N71" s="4" t="n">
        <v>17</v>
      </c>
      <c r="O71" s="4" t="inlineStr">
        <is>
          <t>GV_DL_01</t>
        </is>
      </c>
      <c r="P71" s="4" t="inlineStr">
        <is>
          <t>Ho?ng Ng?c S?n</t>
        </is>
      </c>
      <c r="Q71" s="4" t="n">
        <v>17</v>
      </c>
      <c r="R71" s="4" t="inlineStr"/>
    </row>
    <row r="72">
      <c r="A72" s="4" t="n">
        <v>70</v>
      </c>
      <c r="B72" s="4" t="inlineStr">
        <is>
          <t>2026-2027</t>
        </is>
      </c>
      <c r="C72" s="4" t="n">
        <v>11</v>
      </c>
      <c r="D72" s="4" t="inlineStr">
        <is>
          <t>11D1</t>
        </is>
      </c>
      <c r="E72" s="4" t="inlineStr">
        <is>
          <t>TH3</t>
        </is>
      </c>
      <c r="F72" s="4" t="inlineStr">
        <is>
          <t>GDKTPL</t>
        </is>
      </c>
      <c r="G72" s="4" t="inlineStr">
        <is>
          <t>Gi?o d?c kinh t? v? ph?p lu?t</t>
        </is>
      </c>
      <c r="H72" s="4" t="inlineStr">
        <is>
          <t>L?a ch?n</t>
        </is>
      </c>
      <c r="I72" s="4" t="n">
        <v>70</v>
      </c>
      <c r="J72" s="4" t="n">
        <v>36</v>
      </c>
      <c r="K72" s="4" t="n">
        <v>34</v>
      </c>
      <c r="L72" s="4" t="inlineStr">
        <is>
          <t>GV_GDKTPL_01</t>
        </is>
      </c>
      <c r="M72" s="4" t="inlineStr">
        <is>
          <t>L? Thu Ph??ng</t>
        </is>
      </c>
      <c r="N72" s="4" t="n">
        <v>17</v>
      </c>
      <c r="O72" s="4" t="inlineStr">
        <is>
          <t>GV_GDKTPL_01</t>
        </is>
      </c>
      <c r="P72" s="4" t="inlineStr">
        <is>
          <t>L? Thu Ph??ng</t>
        </is>
      </c>
      <c r="Q72" s="4" t="n">
        <v>17</v>
      </c>
      <c r="R72" s="4" t="inlineStr"/>
    </row>
    <row r="73">
      <c r="A73" s="4" t="n">
        <v>71</v>
      </c>
      <c r="B73" s="4" t="inlineStr">
        <is>
          <t>2026-2027</t>
        </is>
      </c>
      <c r="C73" s="4" t="n">
        <v>11</v>
      </c>
      <c r="D73" s="4" t="inlineStr">
        <is>
          <t>11D1</t>
        </is>
      </c>
      <c r="E73" s="4" t="inlineStr">
        <is>
          <t>TH3</t>
        </is>
      </c>
      <c r="F73" s="4" t="inlineStr">
        <is>
          <t>TH</t>
        </is>
      </c>
      <c r="G73" s="4" t="inlineStr">
        <is>
          <t>Tin h?c</t>
        </is>
      </c>
      <c r="H73" s="4" t="inlineStr">
        <is>
          <t>L?a ch?n</t>
        </is>
      </c>
      <c r="I73" s="4" t="n">
        <v>70</v>
      </c>
      <c r="J73" s="4" t="n">
        <v>36</v>
      </c>
      <c r="K73" s="4" t="n">
        <v>34</v>
      </c>
      <c r="L73" s="4" t="inlineStr">
        <is>
          <t>GV_TH_02</t>
        </is>
      </c>
      <c r="M73" s="4" t="inlineStr">
        <is>
          <t>L? Minh T?m</t>
        </is>
      </c>
      <c r="N73" s="4" t="n">
        <v>17</v>
      </c>
      <c r="O73" s="4" t="inlineStr">
        <is>
          <t>GV_TH_02</t>
        </is>
      </c>
      <c r="P73" s="4" t="inlineStr">
        <is>
          <t>L? Minh T?m</t>
        </is>
      </c>
      <c r="Q73" s="4" t="n">
        <v>17</v>
      </c>
      <c r="R73" s="4" t="inlineStr"/>
    </row>
    <row r="74">
      <c r="A74" s="4" t="n">
        <v>72</v>
      </c>
      <c r="B74" s="4" t="inlineStr">
        <is>
          <t>2026-2027</t>
        </is>
      </c>
      <c r="C74" s="4" t="n">
        <v>11</v>
      </c>
      <c r="D74" s="4" t="inlineStr">
        <is>
          <t>11D1</t>
        </is>
      </c>
      <c r="E74" s="4" t="inlineStr">
        <is>
          <t>TH3</t>
        </is>
      </c>
      <c r="F74" s="4" t="inlineStr">
        <is>
          <t>CN</t>
        </is>
      </c>
      <c r="G74" s="4" t="inlineStr">
        <is>
          <t>C?ng ngh?</t>
        </is>
      </c>
      <c r="H74" s="4" t="inlineStr">
        <is>
          <t>L?a ch?n</t>
        </is>
      </c>
      <c r="I74" s="4" t="n">
        <v>70</v>
      </c>
      <c r="J74" s="4" t="n">
        <v>36</v>
      </c>
      <c r="K74" s="4" t="n">
        <v>34</v>
      </c>
      <c r="L74" s="4" t="inlineStr">
        <is>
          <t>GV_CN_01</t>
        </is>
      </c>
      <c r="M74" s="4" t="inlineStr">
        <is>
          <t>Nguy?n H?u Ph?c</t>
        </is>
      </c>
      <c r="N74" s="4" t="n">
        <v>17</v>
      </c>
      <c r="O74" s="4" t="inlineStr">
        <is>
          <t>GV_CN_01</t>
        </is>
      </c>
      <c r="P74" s="4" t="inlineStr">
        <is>
          <t>Nguy?n H?u Ph?c</t>
        </is>
      </c>
      <c r="Q74" s="4" t="n">
        <v>17</v>
      </c>
      <c r="R74" s="4" t="inlineStr"/>
    </row>
    <row r="75">
      <c r="A75" s="4" t="n">
        <v>73</v>
      </c>
      <c r="B75" s="4" t="inlineStr">
        <is>
          <t>2026-2027</t>
        </is>
      </c>
      <c r="C75" s="4" t="n">
        <v>11</v>
      </c>
      <c r="D75" s="4" t="inlineStr">
        <is>
          <t>11D1</t>
        </is>
      </c>
      <c r="E75" s="4" t="inlineStr">
        <is>
          <t>TH3</t>
        </is>
      </c>
      <c r="F75" s="4" t="inlineStr">
        <is>
          <t>CD_NV</t>
        </is>
      </c>
      <c r="G75" s="4" t="inlineStr">
        <is>
          <t>Chuy?n ?? h?c t?p Ng? v?n</t>
        </is>
      </c>
      <c r="H75" s="4" t="inlineStr">
        <is>
          <t>Chuy?n ??</t>
        </is>
      </c>
      <c r="I75" s="4" t="n">
        <v>35</v>
      </c>
      <c r="J75" s="4" t="n">
        <v>18</v>
      </c>
      <c r="K75" s="4" t="n">
        <v>17</v>
      </c>
      <c r="L75" s="4" t="inlineStr">
        <is>
          <t>GV_NV_02</t>
        </is>
      </c>
      <c r="M75" s="4" t="inlineStr">
        <is>
          <t>Ph?m Thu H?</t>
        </is>
      </c>
      <c r="N75" s="4" t="n">
        <v>17</v>
      </c>
      <c r="O75" s="4" t="inlineStr">
        <is>
          <t>GV_NV_02</t>
        </is>
      </c>
      <c r="P75" s="4" t="inlineStr">
        <is>
          <t>Ph?m Thu H?</t>
        </is>
      </c>
      <c r="Q75" s="4" t="n">
        <v>17</v>
      </c>
      <c r="R75" s="4" t="inlineStr"/>
    </row>
    <row r="76">
      <c r="A76" s="4" t="n">
        <v>74</v>
      </c>
      <c r="B76" s="4" t="inlineStr">
        <is>
          <t>2026-2027</t>
        </is>
      </c>
      <c r="C76" s="4" t="n">
        <v>11</v>
      </c>
      <c r="D76" s="4" t="inlineStr">
        <is>
          <t>11D1</t>
        </is>
      </c>
      <c r="E76" s="4" t="inlineStr">
        <is>
          <t>TH3</t>
        </is>
      </c>
      <c r="F76" s="4" t="inlineStr">
        <is>
          <t>CD_DL</t>
        </is>
      </c>
      <c r="G76" s="4" t="inlineStr">
        <is>
          <t>Chuy?n ?? h?c t?p ??a l?</t>
        </is>
      </c>
      <c r="H76" s="4" t="inlineStr">
        <is>
          <t>Chuy?n ??</t>
        </is>
      </c>
      <c r="I76" s="4" t="n">
        <v>35</v>
      </c>
      <c r="J76" s="4" t="n">
        <v>18</v>
      </c>
      <c r="K76" s="4" t="n">
        <v>17</v>
      </c>
      <c r="L76" s="4" t="inlineStr">
        <is>
          <t>GV_DL_01</t>
        </is>
      </c>
      <c r="M76" s="4" t="inlineStr">
        <is>
          <t>Ho?ng Ng?c S?n</t>
        </is>
      </c>
      <c r="N76" s="4" t="n">
        <v>17</v>
      </c>
      <c r="O76" s="4" t="inlineStr">
        <is>
          <t>GV_DL_01</t>
        </is>
      </c>
      <c r="P76" s="4" t="inlineStr">
        <is>
          <t>Ho?ng Ng?c S?n</t>
        </is>
      </c>
      <c r="Q76" s="4" t="n">
        <v>17</v>
      </c>
      <c r="R76" s="4" t="inlineStr"/>
    </row>
    <row r="77">
      <c r="A77" s="4" t="n">
        <v>75</v>
      </c>
      <c r="B77" s="4" t="inlineStr">
        <is>
          <t>2026-2027</t>
        </is>
      </c>
      <c r="C77" s="4" t="n">
        <v>11</v>
      </c>
      <c r="D77" s="4" t="inlineStr">
        <is>
          <t>11D1</t>
        </is>
      </c>
      <c r="E77" s="4" t="inlineStr">
        <is>
          <t>TH3</t>
        </is>
      </c>
      <c r="F77" s="4" t="inlineStr">
        <is>
          <t>CD_GDKTPL</t>
        </is>
      </c>
      <c r="G77" s="4" t="inlineStr">
        <is>
          <t>Chuy?n ?? h?c t?p GDKTPL</t>
        </is>
      </c>
      <c r="H77" s="4" t="inlineStr">
        <is>
          <t>Chuy?n ??</t>
        </is>
      </c>
      <c r="I77" s="4" t="n">
        <v>35</v>
      </c>
      <c r="J77" s="4" t="n">
        <v>18</v>
      </c>
      <c r="K77" s="4" t="n">
        <v>17</v>
      </c>
      <c r="L77" s="4" t="inlineStr">
        <is>
          <t>GV_GDKTPL_01</t>
        </is>
      </c>
      <c r="M77" s="4" t="inlineStr">
        <is>
          <t>L? Thu Ph??ng</t>
        </is>
      </c>
      <c r="N77" s="4" t="n">
        <v>17</v>
      </c>
      <c r="O77" s="4" t="inlineStr">
        <is>
          <t>GV_GDKTPL_01</t>
        </is>
      </c>
      <c r="P77" s="4" t="inlineStr">
        <is>
          <t>L? Thu Ph??ng</t>
        </is>
      </c>
      <c r="Q77" s="4" t="n">
        <v>17</v>
      </c>
      <c r="R77" s="4" t="inlineStr"/>
    </row>
    <row r="78">
      <c r="A78" s="4" t="n">
        <v>76</v>
      </c>
      <c r="B78" s="4" t="inlineStr">
        <is>
          <t>2026-2027</t>
        </is>
      </c>
      <c r="C78" s="4" t="n">
        <v>12</v>
      </c>
      <c r="D78" s="4" t="inlineStr">
        <is>
          <t>12A1</t>
        </is>
      </c>
      <c r="E78" s="4" t="inlineStr">
        <is>
          <t>TH5</t>
        </is>
      </c>
      <c r="F78" s="4" t="inlineStr">
        <is>
          <t>NV</t>
        </is>
      </c>
      <c r="G78" s="4" t="inlineStr">
        <is>
          <t>Ng? v?n</t>
        </is>
      </c>
      <c r="H78" s="4" t="inlineStr">
        <is>
          <t>B?t bu?c</t>
        </is>
      </c>
      <c r="I78" s="4" t="n">
        <v>105</v>
      </c>
      <c r="J78" s="4" t="n">
        <v>54</v>
      </c>
      <c r="K78" s="4" t="n">
        <v>51</v>
      </c>
      <c r="L78" s="4" t="inlineStr">
        <is>
          <t>GV_NV_01</t>
        </is>
      </c>
      <c r="M78" s="4" t="inlineStr">
        <is>
          <t>Nguy?n Th? Lan</t>
        </is>
      </c>
      <c r="N78" s="4" t="n">
        <v>17</v>
      </c>
      <c r="O78" s="4" t="inlineStr">
        <is>
          <t>GV_NV_01</t>
        </is>
      </c>
      <c r="P78" s="4" t="inlineStr">
        <is>
          <t>Nguy?n Th? Lan</t>
        </is>
      </c>
      <c r="Q78" s="4" t="n">
        <v>17</v>
      </c>
      <c r="R78" s="4" t="inlineStr"/>
    </row>
    <row r="79">
      <c r="A79" s="4" t="n">
        <v>77</v>
      </c>
      <c r="B79" s="4" t="inlineStr">
        <is>
          <t>2026-2027</t>
        </is>
      </c>
      <c r="C79" s="4" t="n">
        <v>12</v>
      </c>
      <c r="D79" s="4" t="inlineStr">
        <is>
          <t>12A1</t>
        </is>
      </c>
      <c r="E79" s="4" t="inlineStr">
        <is>
          <t>TH5</t>
        </is>
      </c>
      <c r="F79" s="4" t="inlineStr">
        <is>
          <t>TOAN</t>
        </is>
      </c>
      <c r="G79" s="4" t="inlineStr">
        <is>
          <t>To?n</t>
        </is>
      </c>
      <c r="H79" s="4" t="inlineStr">
        <is>
          <t>B?t bu?c</t>
        </is>
      </c>
      <c r="I79" s="4" t="n">
        <v>105</v>
      </c>
      <c r="J79" s="4" t="n">
        <v>54</v>
      </c>
      <c r="K79" s="4" t="n">
        <v>51</v>
      </c>
      <c r="L79" s="4" t="inlineStr">
        <is>
          <t>GV_TOAN_02</t>
        </is>
      </c>
      <c r="M79" s="4" t="inlineStr">
        <is>
          <t>V? Th? H??ng</t>
        </is>
      </c>
      <c r="N79" s="4" t="n">
        <v>16</v>
      </c>
      <c r="O79" s="4" t="inlineStr">
        <is>
          <t>GV_TOAN_02</t>
        </is>
      </c>
      <c r="P79" s="4" t="inlineStr">
        <is>
          <t>V? Th? H??ng</t>
        </is>
      </c>
      <c r="Q79" s="4" t="n">
        <v>16</v>
      </c>
      <c r="R79" s="4" t="inlineStr"/>
    </row>
    <row r="80">
      <c r="A80" s="4" t="n">
        <v>78</v>
      </c>
      <c r="B80" s="4" t="inlineStr">
        <is>
          <t>2026-2027</t>
        </is>
      </c>
      <c r="C80" s="4" t="n">
        <v>12</v>
      </c>
      <c r="D80" s="4" t="inlineStr">
        <is>
          <t>12A1</t>
        </is>
      </c>
      <c r="E80" s="4" t="inlineStr">
        <is>
          <t>TH5</t>
        </is>
      </c>
      <c r="F80" s="4" t="inlineStr">
        <is>
          <t>ANH</t>
        </is>
      </c>
      <c r="G80" s="4" t="inlineStr">
        <is>
          <t>Ngo?i ng? 1</t>
        </is>
      </c>
      <c r="H80" s="4" t="inlineStr">
        <is>
          <t>B?t bu?c</t>
        </is>
      </c>
      <c r="I80" s="4" t="n">
        <v>105</v>
      </c>
      <c r="J80" s="4" t="n">
        <v>54</v>
      </c>
      <c r="K80" s="4" t="n">
        <v>51</v>
      </c>
      <c r="L80" s="4" t="inlineStr">
        <is>
          <t>GV_ANH_01</t>
        </is>
      </c>
      <c r="M80" s="4" t="inlineStr">
        <is>
          <t>Tr?n Ho?i An</t>
        </is>
      </c>
      <c r="N80" s="4" t="n">
        <v>17</v>
      </c>
      <c r="O80" s="4" t="inlineStr">
        <is>
          <t>GV_ANH_01</t>
        </is>
      </c>
      <c r="P80" s="4" t="inlineStr">
        <is>
          <t>Tr?n Ho?i An</t>
        </is>
      </c>
      <c r="Q80" s="4" t="n">
        <v>17</v>
      </c>
      <c r="R80" s="4" t="inlineStr"/>
    </row>
    <row r="81">
      <c r="A81" s="4" t="n">
        <v>79</v>
      </c>
      <c r="B81" s="4" t="inlineStr">
        <is>
          <t>2026-2027</t>
        </is>
      </c>
      <c r="C81" s="4" t="n">
        <v>12</v>
      </c>
      <c r="D81" s="4" t="inlineStr">
        <is>
          <t>12A1</t>
        </is>
      </c>
      <c r="E81" s="4" t="inlineStr">
        <is>
          <t>TH5</t>
        </is>
      </c>
      <c r="F81" s="4" t="inlineStr">
        <is>
          <t>LS</t>
        </is>
      </c>
      <c r="G81" s="4" t="inlineStr">
        <is>
          <t>L?ch s?</t>
        </is>
      </c>
      <c r="H81" s="4" t="inlineStr">
        <is>
          <t>B?t bu?c</t>
        </is>
      </c>
      <c r="I81" s="4" t="n">
        <v>52</v>
      </c>
      <c r="J81" s="4" t="n">
        <v>27</v>
      </c>
      <c r="K81" s="4" t="n">
        <v>25</v>
      </c>
      <c r="L81" s="4" t="inlineStr">
        <is>
          <t>GV_LS_01</t>
        </is>
      </c>
      <c r="M81" s="4" t="inlineStr">
        <is>
          <t>??ng Th? H?a</t>
        </is>
      </c>
      <c r="N81" s="4" t="n">
        <v>17</v>
      </c>
      <c r="O81" s="4" t="inlineStr">
        <is>
          <t>GV_LS_01</t>
        </is>
      </c>
      <c r="P81" s="4" t="inlineStr">
        <is>
          <t>??ng Th? H?a</t>
        </is>
      </c>
      <c r="Q81" s="4" t="n">
        <v>17</v>
      </c>
      <c r="R81" s="4" t="inlineStr"/>
    </row>
    <row r="82">
      <c r="A82" s="4" t="n">
        <v>80</v>
      </c>
      <c r="B82" s="4" t="inlineStr">
        <is>
          <t>2026-2027</t>
        </is>
      </c>
      <c r="C82" s="4" t="n">
        <v>12</v>
      </c>
      <c r="D82" s="4" t="inlineStr">
        <is>
          <t>12A1</t>
        </is>
      </c>
      <c r="E82" s="4" t="inlineStr">
        <is>
          <t>TH5</t>
        </is>
      </c>
      <c r="F82" s="4" t="inlineStr">
        <is>
          <t>GDTC</t>
        </is>
      </c>
      <c r="G82" s="4" t="inlineStr">
        <is>
          <t>Gi?o d?c th? ch?t</t>
        </is>
      </c>
      <c r="H82" s="4" t="inlineStr">
        <is>
          <t>B?t bu?c</t>
        </is>
      </c>
      <c r="I82" s="4" t="n">
        <v>70</v>
      </c>
      <c r="J82" s="4" t="n">
        <v>36</v>
      </c>
      <c r="K82" s="4" t="n">
        <v>34</v>
      </c>
      <c r="L82" s="4" t="inlineStr">
        <is>
          <t>GV_GDTC_01</t>
        </is>
      </c>
      <c r="M82" s="4" t="inlineStr">
        <is>
          <t>Ph?m V?n D?ng</t>
        </is>
      </c>
      <c r="N82" s="4" t="n">
        <v>17</v>
      </c>
      <c r="O82" s="4" t="inlineStr">
        <is>
          <t>GV_GDTC_01</t>
        </is>
      </c>
      <c r="P82" s="4" t="inlineStr">
        <is>
          <t>Ph?m V?n D?ng</t>
        </is>
      </c>
      <c r="Q82" s="4" t="n">
        <v>17</v>
      </c>
      <c r="R82" s="4" t="inlineStr"/>
    </row>
    <row r="83">
      <c r="A83" s="4" t="n">
        <v>81</v>
      </c>
      <c r="B83" s="4" t="inlineStr">
        <is>
          <t>2026-2027</t>
        </is>
      </c>
      <c r="C83" s="4" t="n">
        <v>12</v>
      </c>
      <c r="D83" s="4" t="inlineStr">
        <is>
          <t>12A1</t>
        </is>
      </c>
      <c r="E83" s="4" t="inlineStr">
        <is>
          <t>TH5</t>
        </is>
      </c>
      <c r="F83" s="4" t="inlineStr">
        <is>
          <t>GDQPAN</t>
        </is>
      </c>
      <c r="G83" s="4" t="inlineStr">
        <is>
          <t>Gi?o d?c qu?c ph?ng v? an ninh</t>
        </is>
      </c>
      <c r="H83" s="4" t="inlineStr">
        <is>
          <t>B?t bu?c</t>
        </is>
      </c>
      <c r="I83" s="4" t="n">
        <v>35</v>
      </c>
      <c r="J83" s="4" t="n">
        <v>18</v>
      </c>
      <c r="K83" s="4" t="n">
        <v>17</v>
      </c>
      <c r="L83" s="4" t="inlineStr">
        <is>
          <t>GV_QPAN_01</t>
        </is>
      </c>
      <c r="M83" s="4" t="inlineStr">
        <is>
          <t>Nguy?n Qu?c Vi?t</t>
        </is>
      </c>
      <c r="N83" s="4" t="n">
        <v>17</v>
      </c>
      <c r="O83" s="4" t="inlineStr">
        <is>
          <t>GV_QPAN_01</t>
        </is>
      </c>
      <c r="P83" s="4" t="inlineStr">
        <is>
          <t>Nguy?n Qu?c Vi?t</t>
        </is>
      </c>
      <c r="Q83" s="4" t="n">
        <v>17</v>
      </c>
      <c r="R83" s="4" t="inlineStr"/>
    </row>
    <row r="84">
      <c r="A84" s="4" t="n">
        <v>82</v>
      </c>
      <c r="B84" s="4" t="inlineStr">
        <is>
          <t>2026-2027</t>
        </is>
      </c>
      <c r="C84" s="4" t="n">
        <v>12</v>
      </c>
      <c r="D84" s="4" t="inlineStr">
        <is>
          <t>12A1</t>
        </is>
      </c>
      <c r="E84" s="4" t="inlineStr">
        <is>
          <t>TH5</t>
        </is>
      </c>
      <c r="F84" s="4" t="inlineStr">
        <is>
          <t>HDTNHN</t>
        </is>
      </c>
      <c r="G84" s="4" t="inlineStr">
        <is>
          <t>Ho?t ??ng tr?i nghi?m, h??ng nghi?p</t>
        </is>
      </c>
      <c r="H84" s="4" t="inlineStr">
        <is>
          <t>B?t bu?c</t>
        </is>
      </c>
      <c r="I84" s="4" t="n">
        <v>105</v>
      </c>
      <c r="J84" s="4" t="n">
        <v>54</v>
      </c>
      <c r="K84" s="4" t="n">
        <v>51</v>
      </c>
      <c r="L84" s="4" t="inlineStr">
        <is>
          <t>GV_TOAN_02</t>
        </is>
      </c>
      <c r="M84" s="4" t="inlineStr">
        <is>
          <t>V? Th? H??ng</t>
        </is>
      </c>
      <c r="N84" s="4" t="n">
        <v>16</v>
      </c>
      <c r="O84" s="4" t="inlineStr">
        <is>
          <t>GV_TOAN_02</t>
        </is>
      </c>
      <c r="P84" s="4" t="inlineStr">
        <is>
          <t>V? Th? H??ng</t>
        </is>
      </c>
      <c r="Q84" s="4" t="n">
        <v>16</v>
      </c>
      <c r="R84" s="4" t="inlineStr"/>
    </row>
    <row r="85">
      <c r="A85" s="4" t="n">
        <v>83</v>
      </c>
      <c r="B85" s="4" t="inlineStr">
        <is>
          <t>2026-2027</t>
        </is>
      </c>
      <c r="C85" s="4" t="n">
        <v>12</v>
      </c>
      <c r="D85" s="4" t="inlineStr">
        <is>
          <t>12A1</t>
        </is>
      </c>
      <c r="E85" s="4" t="inlineStr">
        <is>
          <t>TH5</t>
        </is>
      </c>
      <c r="F85" s="4" t="inlineStr">
        <is>
          <t>GDDP</t>
        </is>
      </c>
      <c r="G85" s="4" t="inlineStr">
        <is>
          <t>N?i dung gi?o d?c c?a ??a ph??ng</t>
        </is>
      </c>
      <c r="H85" s="4" t="inlineStr">
        <is>
          <t>B?t bu?c</t>
        </is>
      </c>
      <c r="I85" s="4" t="n">
        <v>35</v>
      </c>
      <c r="J85" s="4" t="n">
        <v>18</v>
      </c>
      <c r="K85" s="4" t="n">
        <v>17</v>
      </c>
      <c r="L85" s="4" t="inlineStr">
        <is>
          <t>GV_DL_01</t>
        </is>
      </c>
      <c r="M85" s="4" t="inlineStr">
        <is>
          <t>Ho?ng Ng?c S?n</t>
        </is>
      </c>
      <c r="N85" s="4" t="n">
        <v>17</v>
      </c>
      <c r="O85" s="4" t="inlineStr">
        <is>
          <t>GV_DL_01</t>
        </is>
      </c>
      <c r="P85" s="4" t="inlineStr">
        <is>
          <t>Ho?ng Ng?c S?n</t>
        </is>
      </c>
      <c r="Q85" s="4" t="n">
        <v>17</v>
      </c>
      <c r="R85" s="4" t="inlineStr"/>
    </row>
    <row r="86">
      <c r="A86" s="4" t="n">
        <v>84</v>
      </c>
      <c r="B86" s="4" t="inlineStr">
        <is>
          <t>2026-2027</t>
        </is>
      </c>
      <c r="C86" s="4" t="n">
        <v>12</v>
      </c>
      <c r="D86" s="4" t="inlineStr">
        <is>
          <t>12A1</t>
        </is>
      </c>
      <c r="E86" s="4" t="inlineStr">
        <is>
          <t>TH5</t>
        </is>
      </c>
      <c r="F86" s="4" t="inlineStr">
        <is>
          <t>VL</t>
        </is>
      </c>
      <c r="G86" s="4" t="inlineStr">
        <is>
          <t>V?t l?</t>
        </is>
      </c>
      <c r="H86" s="4" t="inlineStr">
        <is>
          <t>L?a ch?n</t>
        </is>
      </c>
      <c r="I86" s="4" t="n">
        <v>70</v>
      </c>
      <c r="J86" s="4" t="n">
        <v>36</v>
      </c>
      <c r="K86" s="4" t="n">
        <v>34</v>
      </c>
      <c r="L86" s="4" t="inlineStr">
        <is>
          <t>GV_VL_02</t>
        </is>
      </c>
      <c r="M86" s="4" t="inlineStr">
        <is>
          <t>Ng? Minh ??c</t>
        </is>
      </c>
      <c r="N86" s="4" t="n">
        <v>17</v>
      </c>
      <c r="O86" s="4" t="inlineStr">
        <is>
          <t>GV_VL_02</t>
        </is>
      </c>
      <c r="P86" s="4" t="inlineStr">
        <is>
          <t>Ng? Minh ??c</t>
        </is>
      </c>
      <c r="Q86" s="4" t="n">
        <v>17</v>
      </c>
      <c r="R86" s="4" t="inlineStr"/>
    </row>
    <row r="87">
      <c r="A87" s="4" t="n">
        <v>85</v>
      </c>
      <c r="B87" s="4" t="inlineStr">
        <is>
          <t>2026-2027</t>
        </is>
      </c>
      <c r="C87" s="4" t="n">
        <v>12</v>
      </c>
      <c r="D87" s="4" t="inlineStr">
        <is>
          <t>12A1</t>
        </is>
      </c>
      <c r="E87" s="4" t="inlineStr">
        <is>
          <t>TH5</t>
        </is>
      </c>
      <c r="F87" s="4" t="inlineStr">
        <is>
          <t>HH</t>
        </is>
      </c>
      <c r="G87" s="4" t="inlineStr">
        <is>
          <t>H?a h?c</t>
        </is>
      </c>
      <c r="H87" s="4" t="inlineStr">
        <is>
          <t>L?a ch?n</t>
        </is>
      </c>
      <c r="I87" s="4" t="n">
        <v>70</v>
      </c>
      <c r="J87" s="4" t="n">
        <v>36</v>
      </c>
      <c r="K87" s="4" t="n">
        <v>34</v>
      </c>
      <c r="L87" s="4" t="inlineStr">
        <is>
          <t>GV_HH_02</t>
        </is>
      </c>
      <c r="M87" s="4" t="inlineStr">
        <is>
          <t>Nguy?n Th?o Vy</t>
        </is>
      </c>
      <c r="N87" s="4" t="n">
        <v>17</v>
      </c>
      <c r="O87" s="4" t="inlineStr">
        <is>
          <t>GV_HH_02</t>
        </is>
      </c>
      <c r="P87" s="4" t="inlineStr">
        <is>
          <t>Nguy?n Th?o Vy</t>
        </is>
      </c>
      <c r="Q87" s="4" t="n">
        <v>17</v>
      </c>
      <c r="R87" s="4" t="inlineStr"/>
    </row>
    <row r="88">
      <c r="A88" s="4" t="n">
        <v>86</v>
      </c>
      <c r="B88" s="4" t="inlineStr">
        <is>
          <t>2026-2027</t>
        </is>
      </c>
      <c r="C88" s="4" t="n">
        <v>12</v>
      </c>
      <c r="D88" s="4" t="inlineStr">
        <is>
          <t>12A1</t>
        </is>
      </c>
      <c r="E88" s="4" t="inlineStr">
        <is>
          <t>TH5</t>
        </is>
      </c>
      <c r="F88" s="4" t="inlineStr">
        <is>
          <t>TH</t>
        </is>
      </c>
      <c r="G88" s="4" t="inlineStr">
        <is>
          <t>Tin h?c</t>
        </is>
      </c>
      <c r="H88" s="4" t="inlineStr">
        <is>
          <t>L?a ch?n</t>
        </is>
      </c>
      <c r="I88" s="4" t="n">
        <v>70</v>
      </c>
      <c r="J88" s="4" t="n">
        <v>36</v>
      </c>
      <c r="K88" s="4" t="n">
        <v>34</v>
      </c>
      <c r="L88" s="4" t="inlineStr">
        <is>
          <t>GV_TH_02</t>
        </is>
      </c>
      <c r="M88" s="4" t="inlineStr">
        <is>
          <t>L? Minh T?m</t>
        </is>
      </c>
      <c r="N88" s="4" t="n">
        <v>17</v>
      </c>
      <c r="O88" s="4" t="inlineStr">
        <is>
          <t>GV_TH_02</t>
        </is>
      </c>
      <c r="P88" s="4" t="inlineStr">
        <is>
          <t>L? Minh T?m</t>
        </is>
      </c>
      <c r="Q88" s="4" t="n">
        <v>17</v>
      </c>
      <c r="R88" s="4" t="inlineStr"/>
    </row>
    <row r="89">
      <c r="A89" s="4" t="n">
        <v>87</v>
      </c>
      <c r="B89" s="4" t="inlineStr">
        <is>
          <t>2026-2027</t>
        </is>
      </c>
      <c r="C89" s="4" t="n">
        <v>12</v>
      </c>
      <c r="D89" s="4" t="inlineStr">
        <is>
          <t>12A1</t>
        </is>
      </c>
      <c r="E89" s="4" t="inlineStr">
        <is>
          <t>TH5</t>
        </is>
      </c>
      <c r="F89" s="4" t="inlineStr">
        <is>
          <t>CN</t>
        </is>
      </c>
      <c r="G89" s="4" t="inlineStr">
        <is>
          <t>C?ng ngh?</t>
        </is>
      </c>
      <c r="H89" s="4" t="inlineStr">
        <is>
          <t>L?a ch?n</t>
        </is>
      </c>
      <c r="I89" s="4" t="n">
        <v>70</v>
      </c>
      <c r="J89" s="4" t="n">
        <v>36</v>
      </c>
      <c r="K89" s="4" t="n">
        <v>34</v>
      </c>
      <c r="L89" s="4" t="inlineStr">
        <is>
          <t>GV_CN_01</t>
        </is>
      </c>
      <c r="M89" s="4" t="inlineStr">
        <is>
          <t>Nguy?n H?u Ph?c</t>
        </is>
      </c>
      <c r="N89" s="4" t="n">
        <v>17</v>
      </c>
      <c r="O89" s="4" t="inlineStr">
        <is>
          <t>GV_CN_01</t>
        </is>
      </c>
      <c r="P89" s="4" t="inlineStr">
        <is>
          <t>Nguy?n H?u Ph?c</t>
        </is>
      </c>
      <c r="Q89" s="4" t="n">
        <v>17</v>
      </c>
      <c r="R89" s="4" t="inlineStr"/>
    </row>
    <row r="90">
      <c r="A90" s="4" t="n">
        <v>88</v>
      </c>
      <c r="B90" s="4" t="inlineStr">
        <is>
          <t>2026-2027</t>
        </is>
      </c>
      <c r="C90" s="4" t="n">
        <v>12</v>
      </c>
      <c r="D90" s="4" t="inlineStr">
        <is>
          <t>12A1</t>
        </is>
      </c>
      <c r="E90" s="4" t="inlineStr">
        <is>
          <t>TH5</t>
        </is>
      </c>
      <c r="F90" s="4" t="inlineStr">
        <is>
          <t>CD_TOAN</t>
        </is>
      </c>
      <c r="G90" s="4" t="inlineStr">
        <is>
          <t>Chuy?n ?? h?c t?p To?n</t>
        </is>
      </c>
      <c r="H90" s="4" t="inlineStr">
        <is>
          <t>Chuy?n ??</t>
        </is>
      </c>
      <c r="I90" s="4" t="n">
        <v>35</v>
      </c>
      <c r="J90" s="4" t="n">
        <v>18</v>
      </c>
      <c r="K90" s="4" t="n">
        <v>17</v>
      </c>
      <c r="L90" s="4" t="inlineStr">
        <is>
          <t>GV_TOAN_02</t>
        </is>
      </c>
      <c r="M90" s="4" t="inlineStr">
        <is>
          <t>V? Th? H??ng</t>
        </is>
      </c>
      <c r="N90" s="4" t="n">
        <v>16</v>
      </c>
      <c r="O90" s="4" t="inlineStr">
        <is>
          <t>GV_TOAN_02</t>
        </is>
      </c>
      <c r="P90" s="4" t="inlineStr">
        <is>
          <t>V? Th? H??ng</t>
        </is>
      </c>
      <c r="Q90" s="4" t="n">
        <v>16</v>
      </c>
      <c r="R90" s="4" t="inlineStr"/>
    </row>
    <row r="91">
      <c r="A91" s="4" t="n">
        <v>89</v>
      </c>
      <c r="B91" s="4" t="inlineStr">
        <is>
          <t>2026-2027</t>
        </is>
      </c>
      <c r="C91" s="4" t="n">
        <v>12</v>
      </c>
      <c r="D91" s="4" t="inlineStr">
        <is>
          <t>12A1</t>
        </is>
      </c>
      <c r="E91" s="4" t="inlineStr">
        <is>
          <t>TH5</t>
        </is>
      </c>
      <c r="F91" s="4" t="inlineStr">
        <is>
          <t>CD_VL</t>
        </is>
      </c>
      <c r="G91" s="4" t="inlineStr">
        <is>
          <t>Chuy?n ?? h?c t?p V?t l?</t>
        </is>
      </c>
      <c r="H91" s="4" t="inlineStr">
        <is>
          <t>Chuy?n ??</t>
        </is>
      </c>
      <c r="I91" s="4" t="n">
        <v>35</v>
      </c>
      <c r="J91" s="4" t="n">
        <v>18</v>
      </c>
      <c r="K91" s="4" t="n">
        <v>17</v>
      </c>
      <c r="L91" s="4" t="inlineStr">
        <is>
          <t>GV_VL_02</t>
        </is>
      </c>
      <c r="M91" s="4" t="inlineStr">
        <is>
          <t>Ng? Minh ??c</t>
        </is>
      </c>
      <c r="N91" s="4" t="n">
        <v>17</v>
      </c>
      <c r="O91" s="4" t="inlineStr">
        <is>
          <t>GV_VL_02</t>
        </is>
      </c>
      <c r="P91" s="4" t="inlineStr">
        <is>
          <t>Ng? Minh ??c</t>
        </is>
      </c>
      <c r="Q91" s="4" t="n">
        <v>17</v>
      </c>
      <c r="R91" s="4" t="inlineStr"/>
    </row>
    <row r="92">
      <c r="A92" s="4" t="n">
        <v>90</v>
      </c>
      <c r="B92" s="4" t="inlineStr">
        <is>
          <t>2026-2027</t>
        </is>
      </c>
      <c r="C92" s="4" t="n">
        <v>12</v>
      </c>
      <c r="D92" s="4" t="inlineStr">
        <is>
          <t>12A1</t>
        </is>
      </c>
      <c r="E92" s="4" t="inlineStr">
        <is>
          <t>TH5</t>
        </is>
      </c>
      <c r="F92" s="4" t="inlineStr">
        <is>
          <t>CD_CN</t>
        </is>
      </c>
      <c r="G92" s="4" t="inlineStr">
        <is>
          <t>Chuy?n ?? h?c t?p C?ng ngh?</t>
        </is>
      </c>
      <c r="H92" s="4" t="inlineStr">
        <is>
          <t>Chuy?n ??</t>
        </is>
      </c>
      <c r="I92" s="4" t="n">
        <v>35</v>
      </c>
      <c r="J92" s="4" t="n">
        <v>18</v>
      </c>
      <c r="K92" s="4" t="n">
        <v>17</v>
      </c>
      <c r="L92" s="4" t="inlineStr">
        <is>
          <t>GV_CN_01</t>
        </is>
      </c>
      <c r="M92" s="4" t="inlineStr">
        <is>
          <t>Nguy?n H?u Ph?c</t>
        </is>
      </c>
      <c r="N92" s="4" t="n">
        <v>17</v>
      </c>
      <c r="O92" s="4" t="inlineStr">
        <is>
          <t>GV_CN_01</t>
        </is>
      </c>
      <c r="P92" s="4" t="inlineStr">
        <is>
          <t>Nguy?n H?u Ph?c</t>
        </is>
      </c>
      <c r="Q92" s="4" t="n">
        <v>17</v>
      </c>
      <c r="R92" s="4" t="inlineStr"/>
    </row>
    <row r="93">
      <c r="A93" s="4" t="n">
        <v>91</v>
      </c>
      <c r="B93" s="4" t="inlineStr">
        <is>
          <t>2026-2027</t>
        </is>
      </c>
      <c r="C93" s="4" t="n">
        <v>12</v>
      </c>
      <c r="D93" s="4" t="inlineStr">
        <is>
          <t>12D1</t>
        </is>
      </c>
      <c r="E93" s="4" t="inlineStr">
        <is>
          <t>TH6</t>
        </is>
      </c>
      <c r="F93" s="4" t="inlineStr">
        <is>
          <t>NV</t>
        </is>
      </c>
      <c r="G93" s="4" t="inlineStr">
        <is>
          <t>Ng? v?n</t>
        </is>
      </c>
      <c r="H93" s="4" t="inlineStr">
        <is>
          <t>B?t bu?c</t>
        </is>
      </c>
      <c r="I93" s="4" t="n">
        <v>105</v>
      </c>
      <c r="J93" s="4" t="n">
        <v>54</v>
      </c>
      <c r="K93" s="4" t="n">
        <v>51</v>
      </c>
      <c r="L93" s="4" t="inlineStr">
        <is>
          <t>GV_NV_01</t>
        </is>
      </c>
      <c r="M93" s="4" t="inlineStr">
        <is>
          <t>Nguy?n Th? Lan</t>
        </is>
      </c>
      <c r="N93" s="4" t="n">
        <v>17</v>
      </c>
      <c r="O93" s="4" t="inlineStr">
        <is>
          <t>GV_NV_01</t>
        </is>
      </c>
      <c r="P93" s="4" t="inlineStr">
        <is>
          <t>Nguy?n Th? Lan</t>
        </is>
      </c>
      <c r="Q93" s="4" t="n">
        <v>17</v>
      </c>
      <c r="R93" s="4" t="inlineStr"/>
    </row>
    <row r="94">
      <c r="A94" s="4" t="n">
        <v>92</v>
      </c>
      <c r="B94" s="4" t="inlineStr">
        <is>
          <t>2026-2027</t>
        </is>
      </c>
      <c r="C94" s="4" t="n">
        <v>12</v>
      </c>
      <c r="D94" s="4" t="inlineStr">
        <is>
          <t>12D1</t>
        </is>
      </c>
      <c r="E94" s="4" t="inlineStr">
        <is>
          <t>TH6</t>
        </is>
      </c>
      <c r="F94" s="4" t="inlineStr">
        <is>
          <t>TOAN</t>
        </is>
      </c>
      <c r="G94" s="4" t="inlineStr">
        <is>
          <t>To?n</t>
        </is>
      </c>
      <c r="H94" s="4" t="inlineStr">
        <is>
          <t>B?t bu?c</t>
        </is>
      </c>
      <c r="I94" s="4" t="n">
        <v>105</v>
      </c>
      <c r="J94" s="4" t="n">
        <v>54</v>
      </c>
      <c r="K94" s="4" t="n">
        <v>51</v>
      </c>
      <c r="L94" s="4" t="inlineStr">
        <is>
          <t>GV_TOAN_01</t>
        </is>
      </c>
      <c r="M94" s="4" t="inlineStr">
        <is>
          <t>L? Quang Minh</t>
        </is>
      </c>
      <c r="N94" s="4" t="n">
        <v>17</v>
      </c>
      <c r="O94" s="4" t="inlineStr">
        <is>
          <t>GV_TOAN_01</t>
        </is>
      </c>
      <c r="P94" s="4" t="inlineStr">
        <is>
          <t>L? Quang Minh</t>
        </is>
      </c>
      <c r="Q94" s="4" t="n">
        <v>17</v>
      </c>
      <c r="R94" s="4" t="inlineStr"/>
    </row>
    <row r="95">
      <c r="A95" s="4" t="n">
        <v>93</v>
      </c>
      <c r="B95" s="4" t="inlineStr">
        <is>
          <t>2026-2027</t>
        </is>
      </c>
      <c r="C95" s="4" t="n">
        <v>12</v>
      </c>
      <c r="D95" s="4" t="inlineStr">
        <is>
          <t>12D1</t>
        </is>
      </c>
      <c r="E95" s="4" t="inlineStr">
        <is>
          <t>TH6</t>
        </is>
      </c>
      <c r="F95" s="4" t="inlineStr">
        <is>
          <t>ANH</t>
        </is>
      </c>
      <c r="G95" s="4" t="inlineStr">
        <is>
          <t>Ngo?i ng? 1</t>
        </is>
      </c>
      <c r="H95" s="4" t="inlineStr">
        <is>
          <t>B?t bu?c</t>
        </is>
      </c>
      <c r="I95" s="4" t="n">
        <v>105</v>
      </c>
      <c r="J95" s="4" t="n">
        <v>54</v>
      </c>
      <c r="K95" s="4" t="n">
        <v>51</v>
      </c>
      <c r="L95" s="4" t="inlineStr">
        <is>
          <t>GV_ANH_01</t>
        </is>
      </c>
      <c r="M95" s="4" t="inlineStr">
        <is>
          <t>Tr?n Ho?i An</t>
        </is>
      </c>
      <c r="N95" s="4" t="n">
        <v>17</v>
      </c>
      <c r="O95" s="4" t="inlineStr">
        <is>
          <t>GV_ANH_02</t>
        </is>
      </c>
      <c r="P95" s="4" t="inlineStr">
        <is>
          <t>??o Kh?nh Linh</t>
        </is>
      </c>
      <c r="Q95" s="4" t="n">
        <v>17</v>
      </c>
      <c r="R95" s="4" t="inlineStr"/>
    </row>
    <row r="96">
      <c r="A96" s="4" t="n">
        <v>94</v>
      </c>
      <c r="B96" s="4" t="inlineStr">
        <is>
          <t>2026-2027</t>
        </is>
      </c>
      <c r="C96" s="4" t="n">
        <v>12</v>
      </c>
      <c r="D96" s="4" t="inlineStr">
        <is>
          <t>12D1</t>
        </is>
      </c>
      <c r="E96" s="4" t="inlineStr">
        <is>
          <t>TH6</t>
        </is>
      </c>
      <c r="F96" s="4" t="inlineStr">
        <is>
          <t>LS</t>
        </is>
      </c>
      <c r="G96" s="4" t="inlineStr">
        <is>
          <t>L?ch s?</t>
        </is>
      </c>
      <c r="H96" s="4" t="inlineStr">
        <is>
          <t>B?t bu?c</t>
        </is>
      </c>
      <c r="I96" s="4" t="n">
        <v>52</v>
      </c>
      <c r="J96" s="4" t="n">
        <v>27</v>
      </c>
      <c r="K96" s="4" t="n">
        <v>25</v>
      </c>
      <c r="L96" s="4" t="inlineStr">
        <is>
          <t>GV_LS_01</t>
        </is>
      </c>
      <c r="M96" s="4" t="inlineStr">
        <is>
          <t>??ng Th? H?a</t>
        </is>
      </c>
      <c r="N96" s="4" t="n">
        <v>17</v>
      </c>
      <c r="O96" s="4" t="inlineStr">
        <is>
          <t>GV_LS_01</t>
        </is>
      </c>
      <c r="P96" s="4" t="inlineStr">
        <is>
          <t>??ng Th? H?a</t>
        </is>
      </c>
      <c r="Q96" s="4" t="n">
        <v>17</v>
      </c>
      <c r="R96" s="4" t="inlineStr"/>
    </row>
    <row r="97">
      <c r="A97" s="4" t="n">
        <v>95</v>
      </c>
      <c r="B97" s="4" t="inlineStr">
        <is>
          <t>2026-2027</t>
        </is>
      </c>
      <c r="C97" s="4" t="n">
        <v>12</v>
      </c>
      <c r="D97" s="4" t="inlineStr">
        <is>
          <t>12D1</t>
        </is>
      </c>
      <c r="E97" s="4" t="inlineStr">
        <is>
          <t>TH6</t>
        </is>
      </c>
      <c r="F97" s="4" t="inlineStr">
        <is>
          <t>GDTC</t>
        </is>
      </c>
      <c r="G97" s="4" t="inlineStr">
        <is>
          <t>Gi?o d?c th? ch?t</t>
        </is>
      </c>
      <c r="H97" s="4" t="inlineStr">
        <is>
          <t>B?t bu?c</t>
        </is>
      </c>
      <c r="I97" s="4" t="n">
        <v>70</v>
      </c>
      <c r="J97" s="4" t="n">
        <v>36</v>
      </c>
      <c r="K97" s="4" t="n">
        <v>34</v>
      </c>
      <c r="L97" s="4" t="inlineStr">
        <is>
          <t>GV_GDTC_01</t>
        </is>
      </c>
      <c r="M97" s="4" t="inlineStr">
        <is>
          <t>Ph?m V?n D?ng</t>
        </is>
      </c>
      <c r="N97" s="4" t="n">
        <v>17</v>
      </c>
      <c r="O97" s="4" t="inlineStr">
        <is>
          <t>GV_GDTC_01</t>
        </is>
      </c>
      <c r="P97" s="4" t="inlineStr">
        <is>
          <t>Ph?m V?n D?ng</t>
        </is>
      </c>
      <c r="Q97" s="4" t="n">
        <v>17</v>
      </c>
      <c r="R97" s="4" t="inlineStr"/>
    </row>
    <row r="98">
      <c r="A98" s="4" t="n">
        <v>96</v>
      </c>
      <c r="B98" s="4" t="inlineStr">
        <is>
          <t>2026-2027</t>
        </is>
      </c>
      <c r="C98" s="4" t="n">
        <v>12</v>
      </c>
      <c r="D98" s="4" t="inlineStr">
        <is>
          <t>12D1</t>
        </is>
      </c>
      <c r="E98" s="4" t="inlineStr">
        <is>
          <t>TH6</t>
        </is>
      </c>
      <c r="F98" s="4" t="inlineStr">
        <is>
          <t>GDQPAN</t>
        </is>
      </c>
      <c r="G98" s="4" t="inlineStr">
        <is>
          <t>Gi?o d?c qu?c ph?ng v? an ninh</t>
        </is>
      </c>
      <c r="H98" s="4" t="inlineStr">
        <is>
          <t>B?t bu?c</t>
        </is>
      </c>
      <c r="I98" s="4" t="n">
        <v>35</v>
      </c>
      <c r="J98" s="4" t="n">
        <v>18</v>
      </c>
      <c r="K98" s="4" t="n">
        <v>17</v>
      </c>
      <c r="L98" s="4" t="inlineStr">
        <is>
          <t>GV_QPAN_01</t>
        </is>
      </c>
      <c r="M98" s="4" t="inlineStr">
        <is>
          <t>Nguy?n Qu?c Vi?t</t>
        </is>
      </c>
      <c r="N98" s="4" t="n">
        <v>17</v>
      </c>
      <c r="O98" s="4" t="inlineStr">
        <is>
          <t>GV_QPAN_01</t>
        </is>
      </c>
      <c r="P98" s="4" t="inlineStr">
        <is>
          <t>Nguy?n Qu?c Vi?t</t>
        </is>
      </c>
      <c r="Q98" s="4" t="n">
        <v>17</v>
      </c>
      <c r="R98" s="4" t="inlineStr"/>
    </row>
    <row r="99">
      <c r="A99" s="4" t="n">
        <v>97</v>
      </c>
      <c r="B99" s="4" t="inlineStr">
        <is>
          <t>2026-2027</t>
        </is>
      </c>
      <c r="C99" s="4" t="n">
        <v>12</v>
      </c>
      <c r="D99" s="4" t="inlineStr">
        <is>
          <t>12D1</t>
        </is>
      </c>
      <c r="E99" s="4" t="inlineStr">
        <is>
          <t>TH6</t>
        </is>
      </c>
      <c r="F99" s="4" t="inlineStr">
        <is>
          <t>HDTNHN</t>
        </is>
      </c>
      <c r="G99" s="4" t="inlineStr">
        <is>
          <t>Ho?t ??ng tr?i nghi?m, h??ng nghi?p</t>
        </is>
      </c>
      <c r="H99" s="4" t="inlineStr">
        <is>
          <t>B?t bu?c</t>
        </is>
      </c>
      <c r="I99" s="4" t="n">
        <v>105</v>
      </c>
      <c r="J99" s="4" t="n">
        <v>54</v>
      </c>
      <c r="K99" s="4" t="n">
        <v>51</v>
      </c>
      <c r="L99" s="4" t="inlineStr">
        <is>
          <t>GV_LS_01</t>
        </is>
      </c>
      <c r="M99" s="4" t="inlineStr">
        <is>
          <t>??ng Th? H?a</t>
        </is>
      </c>
      <c r="N99" s="4" t="n">
        <v>17</v>
      </c>
      <c r="O99" s="4" t="inlineStr">
        <is>
          <t>GV_LS_01</t>
        </is>
      </c>
      <c r="P99" s="4" t="inlineStr">
        <is>
          <t>??ng Th? H?a</t>
        </is>
      </c>
      <c r="Q99" s="4" t="n">
        <v>17</v>
      </c>
      <c r="R99" s="4" t="inlineStr"/>
    </row>
    <row r="100">
      <c r="A100" s="4" t="n">
        <v>98</v>
      </c>
      <c r="B100" s="4" t="inlineStr">
        <is>
          <t>2026-2027</t>
        </is>
      </c>
      <c r="C100" s="4" t="n">
        <v>12</v>
      </c>
      <c r="D100" s="4" t="inlineStr">
        <is>
          <t>12D1</t>
        </is>
      </c>
      <c r="E100" s="4" t="inlineStr">
        <is>
          <t>TH6</t>
        </is>
      </c>
      <c r="F100" s="4" t="inlineStr">
        <is>
          <t>GDDP</t>
        </is>
      </c>
      <c r="G100" s="4" t="inlineStr">
        <is>
          <t>N?i dung gi?o d?c c?a ??a ph??ng</t>
        </is>
      </c>
      <c r="H100" s="4" t="inlineStr">
        <is>
          <t>B?t bu?c</t>
        </is>
      </c>
      <c r="I100" s="4" t="n">
        <v>35</v>
      </c>
      <c r="J100" s="4" t="n">
        <v>18</v>
      </c>
      <c r="K100" s="4" t="n">
        <v>17</v>
      </c>
      <c r="L100" s="4" t="inlineStr">
        <is>
          <t>GV_DL_01</t>
        </is>
      </c>
      <c r="M100" s="4" t="inlineStr">
        <is>
          <t>Ho?ng Ng?c S?n</t>
        </is>
      </c>
      <c r="N100" s="4" t="n">
        <v>17</v>
      </c>
      <c r="O100" s="4" t="inlineStr">
        <is>
          <t>GV_DL_01</t>
        </is>
      </c>
      <c r="P100" s="4" t="inlineStr">
        <is>
          <t>Ho?ng Ng?c S?n</t>
        </is>
      </c>
      <c r="Q100" s="4" t="n">
        <v>17</v>
      </c>
      <c r="R100" s="4" t="inlineStr"/>
    </row>
    <row r="101">
      <c r="A101" s="4" t="n">
        <v>99</v>
      </c>
      <c r="B101" s="4" t="inlineStr">
        <is>
          <t>2026-2027</t>
        </is>
      </c>
      <c r="C101" s="4" t="n">
        <v>12</v>
      </c>
      <c r="D101" s="4" t="inlineStr">
        <is>
          <t>12D1</t>
        </is>
      </c>
      <c r="E101" s="4" t="inlineStr">
        <is>
          <t>TH6</t>
        </is>
      </c>
      <c r="F101" s="4" t="inlineStr">
        <is>
          <t>DL</t>
        </is>
      </c>
      <c r="G101" s="4" t="inlineStr">
        <is>
          <t>??a l?</t>
        </is>
      </c>
      <c r="H101" s="4" t="inlineStr">
        <is>
          <t>L?a ch?n</t>
        </is>
      </c>
      <c r="I101" s="4" t="n">
        <v>70</v>
      </c>
      <c r="J101" s="4" t="n">
        <v>36</v>
      </c>
      <c r="K101" s="4" t="n">
        <v>34</v>
      </c>
      <c r="L101" s="4" t="inlineStr">
        <is>
          <t>GV_DL_01</t>
        </is>
      </c>
      <c r="M101" s="4" t="inlineStr">
        <is>
          <t>Ho?ng Ng?c S?n</t>
        </is>
      </c>
      <c r="N101" s="4" t="n">
        <v>17</v>
      </c>
      <c r="O101" s="4" t="inlineStr">
        <is>
          <t>GV_DL_01</t>
        </is>
      </c>
      <c r="P101" s="4" t="inlineStr">
        <is>
          <t>Ho?ng Ng?c S?n</t>
        </is>
      </c>
      <c r="Q101" s="4" t="n">
        <v>17</v>
      </c>
      <c r="R101" s="4" t="inlineStr"/>
    </row>
    <row r="102">
      <c r="A102" s="4" t="n">
        <v>100</v>
      </c>
      <c r="B102" s="4" t="inlineStr">
        <is>
          <t>2026-2027</t>
        </is>
      </c>
      <c r="C102" s="4" t="n">
        <v>12</v>
      </c>
      <c r="D102" s="4" t="inlineStr">
        <is>
          <t>12D1</t>
        </is>
      </c>
      <c r="E102" s="4" t="inlineStr">
        <is>
          <t>TH6</t>
        </is>
      </c>
      <c r="F102" s="4" t="inlineStr">
        <is>
          <t>GDKTPL</t>
        </is>
      </c>
      <c r="G102" s="4" t="inlineStr">
        <is>
          <t>Gi?o d?c kinh t? v? ph?p lu?t</t>
        </is>
      </c>
      <c r="H102" s="4" t="inlineStr">
        <is>
          <t>L?a ch?n</t>
        </is>
      </c>
      <c r="I102" s="4" t="n">
        <v>70</v>
      </c>
      <c r="J102" s="4" t="n">
        <v>36</v>
      </c>
      <c r="K102" s="4" t="n">
        <v>34</v>
      </c>
      <c r="L102" s="4" t="inlineStr">
        <is>
          <t>GV_GDKTPL_01</t>
        </is>
      </c>
      <c r="M102" s="4" t="inlineStr">
        <is>
          <t>L? Thu Ph??ng</t>
        </is>
      </c>
      <c r="N102" s="4" t="n">
        <v>17</v>
      </c>
      <c r="O102" s="4" t="inlineStr">
        <is>
          <t>GV_GDKTPL_01</t>
        </is>
      </c>
      <c r="P102" s="4" t="inlineStr">
        <is>
          <t>L? Thu Ph??ng</t>
        </is>
      </c>
      <c r="Q102" s="4" t="n">
        <v>17</v>
      </c>
      <c r="R102" s="4" t="inlineStr"/>
    </row>
    <row r="103">
      <c r="A103" s="4" t="n">
        <v>101</v>
      </c>
      <c r="B103" s="4" t="inlineStr">
        <is>
          <t>2026-2027</t>
        </is>
      </c>
      <c r="C103" s="4" t="n">
        <v>12</v>
      </c>
      <c r="D103" s="4" t="inlineStr">
        <is>
          <t>12D1</t>
        </is>
      </c>
      <c r="E103" s="4" t="inlineStr">
        <is>
          <t>TH6</t>
        </is>
      </c>
      <c r="F103" s="4" t="inlineStr">
        <is>
          <t>TH</t>
        </is>
      </c>
      <c r="G103" s="4" t="inlineStr">
        <is>
          <t>Tin h?c</t>
        </is>
      </c>
      <c r="H103" s="4" t="inlineStr">
        <is>
          <t>L?a ch?n</t>
        </is>
      </c>
      <c r="I103" s="4" t="n">
        <v>70</v>
      </c>
      <c r="J103" s="4" t="n">
        <v>36</v>
      </c>
      <c r="K103" s="4" t="n">
        <v>34</v>
      </c>
      <c r="L103" s="4" t="inlineStr">
        <is>
          <t>GV_TH_01</t>
        </is>
      </c>
      <c r="M103" s="4" t="inlineStr">
        <is>
          <t>Ph?m ??c Anh</t>
        </is>
      </c>
      <c r="N103" s="4" t="n">
        <v>17</v>
      </c>
      <c r="O103" s="4" t="inlineStr">
        <is>
          <t>GV_TH_01</t>
        </is>
      </c>
      <c r="P103" s="4" t="inlineStr">
        <is>
          <t>Ph?m ??c Anh</t>
        </is>
      </c>
      <c r="Q103" s="4" t="n">
        <v>17</v>
      </c>
      <c r="R103" s="4" t="inlineStr"/>
    </row>
    <row r="104">
      <c r="A104" s="4" t="n">
        <v>102</v>
      </c>
      <c r="B104" s="4" t="inlineStr">
        <is>
          <t>2026-2027</t>
        </is>
      </c>
      <c r="C104" s="4" t="n">
        <v>12</v>
      </c>
      <c r="D104" s="4" t="inlineStr">
        <is>
          <t>12D1</t>
        </is>
      </c>
      <c r="E104" s="4" t="inlineStr">
        <is>
          <t>TH6</t>
        </is>
      </c>
      <c r="F104" s="4" t="inlineStr">
        <is>
          <t>CN</t>
        </is>
      </c>
      <c r="G104" s="4" t="inlineStr">
        <is>
          <t>C?ng ngh?</t>
        </is>
      </c>
      <c r="H104" s="4" t="inlineStr">
        <is>
          <t>L?a ch?n</t>
        </is>
      </c>
      <c r="I104" s="4" t="n">
        <v>70</v>
      </c>
      <c r="J104" s="4" t="n">
        <v>36</v>
      </c>
      <c r="K104" s="4" t="n">
        <v>34</v>
      </c>
      <c r="L104" s="4" t="inlineStr">
        <is>
          <t>GV_CN_01</t>
        </is>
      </c>
      <c r="M104" s="4" t="inlineStr">
        <is>
          <t>Nguy?n H?u Ph?c</t>
        </is>
      </c>
      <c r="N104" s="4" t="n">
        <v>17</v>
      </c>
      <c r="O104" s="4" t="inlineStr">
        <is>
          <t>GV_CN_01</t>
        </is>
      </c>
      <c r="P104" s="4" t="inlineStr">
        <is>
          <t>Nguy?n H?u Ph?c</t>
        </is>
      </c>
      <c r="Q104" s="4" t="n">
        <v>17</v>
      </c>
      <c r="R104" s="4" t="inlineStr"/>
    </row>
    <row r="105">
      <c r="A105" s="4" t="n">
        <v>103</v>
      </c>
      <c r="B105" s="4" t="inlineStr">
        <is>
          <t>2026-2027</t>
        </is>
      </c>
      <c r="C105" s="4" t="n">
        <v>12</v>
      </c>
      <c r="D105" s="4" t="inlineStr">
        <is>
          <t>12D1</t>
        </is>
      </c>
      <c r="E105" s="4" t="inlineStr">
        <is>
          <t>TH6</t>
        </is>
      </c>
      <c r="F105" s="4" t="inlineStr">
        <is>
          <t>CD_NV</t>
        </is>
      </c>
      <c r="G105" s="4" t="inlineStr">
        <is>
          <t>Chuy?n ?? h?c t?p Ng? v?n</t>
        </is>
      </c>
      <c r="H105" s="4" t="inlineStr">
        <is>
          <t>Chuy?n ??</t>
        </is>
      </c>
      <c r="I105" s="4" t="n">
        <v>35</v>
      </c>
      <c r="J105" s="4" t="n">
        <v>18</v>
      </c>
      <c r="K105" s="4" t="n">
        <v>17</v>
      </c>
      <c r="L105" s="4" t="inlineStr">
        <is>
          <t>GV_NV_01</t>
        </is>
      </c>
      <c r="M105" s="4" t="inlineStr">
        <is>
          <t>Nguy?n Th? Lan</t>
        </is>
      </c>
      <c r="N105" s="4" t="n">
        <v>17</v>
      </c>
      <c r="O105" s="4" t="inlineStr">
        <is>
          <t>GV_NV_01</t>
        </is>
      </c>
      <c r="P105" s="4" t="inlineStr">
        <is>
          <t>Nguy?n Th? Lan</t>
        </is>
      </c>
      <c r="Q105" s="4" t="n">
        <v>17</v>
      </c>
      <c r="R105" s="4" t="inlineStr"/>
    </row>
    <row r="106">
      <c r="A106" s="4" t="n">
        <v>104</v>
      </c>
      <c r="B106" s="4" t="inlineStr">
        <is>
          <t>2026-2027</t>
        </is>
      </c>
      <c r="C106" s="4" t="n">
        <v>12</v>
      </c>
      <c r="D106" s="4" t="inlineStr">
        <is>
          <t>12D1</t>
        </is>
      </c>
      <c r="E106" s="4" t="inlineStr">
        <is>
          <t>TH6</t>
        </is>
      </c>
      <c r="F106" s="4" t="inlineStr">
        <is>
          <t>CD_DL</t>
        </is>
      </c>
      <c r="G106" s="4" t="inlineStr">
        <is>
          <t>Chuy?n ?? h?c t?p ??a l?</t>
        </is>
      </c>
      <c r="H106" s="4" t="inlineStr">
        <is>
          <t>Chuy?n ??</t>
        </is>
      </c>
      <c r="I106" s="4" t="n">
        <v>35</v>
      </c>
      <c r="J106" s="4" t="n">
        <v>18</v>
      </c>
      <c r="K106" s="4" t="n">
        <v>17</v>
      </c>
      <c r="L106" s="4" t="inlineStr">
        <is>
          <t>GV_DL_01</t>
        </is>
      </c>
      <c r="M106" s="4" t="inlineStr">
        <is>
          <t>Ho?ng Ng?c S?n</t>
        </is>
      </c>
      <c r="N106" s="4" t="n">
        <v>17</v>
      </c>
      <c r="O106" s="4" t="inlineStr">
        <is>
          <t>GV_DL_01</t>
        </is>
      </c>
      <c r="P106" s="4" t="inlineStr">
        <is>
          <t>Ho?ng Ng?c S?n</t>
        </is>
      </c>
      <c r="Q106" s="4" t="n">
        <v>17</v>
      </c>
      <c r="R106" s="4" t="inlineStr"/>
    </row>
    <row r="107">
      <c r="A107" s="4" t="n">
        <v>105</v>
      </c>
      <c r="B107" s="4" t="inlineStr">
        <is>
          <t>2026-2027</t>
        </is>
      </c>
      <c r="C107" s="4" t="n">
        <v>12</v>
      </c>
      <c r="D107" s="4" t="inlineStr">
        <is>
          <t>12D1</t>
        </is>
      </c>
      <c r="E107" s="4" t="inlineStr">
        <is>
          <t>TH6</t>
        </is>
      </c>
      <c r="F107" s="4" t="inlineStr">
        <is>
          <t>CD_GDKTPL</t>
        </is>
      </c>
      <c r="G107" s="4" t="inlineStr">
        <is>
          <t>Chuy?n ?? h?c t?p GDKTPL</t>
        </is>
      </c>
      <c r="H107" s="4" t="inlineStr">
        <is>
          <t>Chuy?n ??</t>
        </is>
      </c>
      <c r="I107" s="4" t="n">
        <v>35</v>
      </c>
      <c r="J107" s="4" t="n">
        <v>18</v>
      </c>
      <c r="K107" s="4" t="n">
        <v>17</v>
      </c>
      <c r="L107" s="4" t="inlineStr">
        <is>
          <t>GV_GDKTPL_01</t>
        </is>
      </c>
      <c r="M107" s="4" t="inlineStr">
        <is>
          <t>L? Thu Ph??ng</t>
        </is>
      </c>
      <c r="N107" s="4" t="n">
        <v>17</v>
      </c>
      <c r="O107" s="4" t="inlineStr">
        <is>
          <t>GV_GDKTPL_01</t>
        </is>
      </c>
      <c r="P107" s="4" t="inlineStr">
        <is>
          <t>L? Thu Ph??ng</t>
        </is>
      </c>
      <c r="Q107" s="4" t="n">
        <v>17</v>
      </c>
      <c r="R107" s="4" t="inlineStr"/>
    </row>
  </sheetData>
  <autoFilter ref="A2:R107"/>
  <mergeCells count="1">
    <mergeCell ref="A1:R1"/>
  </mergeCells>
  <dataValidations count="5">
    <dataValidation sqref="L3:L107 O3:O107" showDropDown="0" showInputMessage="0" showErrorMessage="0" allowBlank="1" type="list">
      <formula1>=DM_Giao_vien!$A$3:$A$23</formula1>
    </dataValidation>
    <dataValidation sqref="L3:L107 O3:O107" showDropDown="0" showInputMessage="0" showErrorMessage="0" allowBlank="1" type="list">
      <formula1>=DM_Giao_vien!$A$3:$A$23</formula1>
    </dataValidation>
    <dataValidation sqref="D3:D107" showDropDown="0" showInputMessage="0" showErrorMessage="0" allowBlank="1" type="list">
      <formula1>=DM_Lop!$A$3:$A$9</formula1>
    </dataValidation>
    <dataValidation sqref="E3:E107" showDropDown="0" showInputMessage="0" showErrorMessage="0" allowBlank="1" type="list">
      <formula1>=DM_To_hop!$A$3:$A$6</formula1>
    </dataValidation>
    <dataValidation sqref="F3:F107" showDropDown="0" showInputMessage="0" showErrorMessage="0" allowBlank="1" type="list">
      <formula1>=DM_Mon_GDPT2018!$A$3:$A$27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3"/>
  <sheetViews>
    <sheetView showGridLines="1" workbookViewId="0">
      <pane ySplit="2" topLeftCell="A3" activePane="bottomLeft" state="frozen"/>
      <selection pane="bottomLeft" activeCell="A1" sqref="A1"/>
    </sheetView>
  </sheetViews>
  <sheetFormatPr baseColWidth="8" defaultRowHeight="15"/>
  <cols>
    <col width="14" customWidth="1" min="1" max="1"/>
    <col width="24" customWidth="1" min="2" max="2"/>
    <col width="22" customWidth="1" min="3" max="3"/>
    <col width="14" customWidth="1" min="4" max="4"/>
    <col width="14" customWidth="1" min="5" max="5"/>
    <col width="14" customWidth="1" min="6" max="6"/>
    <col width="12" customWidth="1" min="7" max="7"/>
    <col width="12" customWidth="1" min="8" max="8"/>
    <col width="10" customWidth="1" min="9" max="9"/>
    <col width="10" customWidth="1" min="10" max="10"/>
    <col width="14" customWidth="1" min="11" max="11"/>
    <col width="14" customWidth="1" min="12" max="12"/>
    <col width="14" customWidth="1" min="13" max="13"/>
    <col width="24" customWidth="1" min="14" max="14"/>
  </cols>
  <sheetData>
    <row r="1">
      <c r="A1" s="1" t="inlineStr">
        <is>
          <t>T?ng h?p t?i gi?ng d?y theo gi?o vi?n</t>
        </is>
      </c>
    </row>
    <row r="2">
      <c r="A2" s="3" t="inlineStr">
        <is>
          <t>M?_GV</t>
        </is>
      </c>
      <c r="B2" s="3" t="inlineStr">
        <is>
          <t>H?_t?n</t>
        </is>
      </c>
      <c r="C2" s="3" t="inlineStr">
        <is>
          <t>T?_CM</t>
        </is>
      </c>
      <c r="D2" s="3" t="inlineStr">
        <is>
          <t>??nh_m?c_tu?n</t>
        </is>
      </c>
      <c r="E2" s="3" t="inlineStr">
        <is>
          <t>T?ng_ti?t_HK1</t>
        </is>
      </c>
      <c r="F2" s="3" t="inlineStr">
        <is>
          <t>T?ng_ti?t_HK2</t>
        </is>
      </c>
      <c r="G2" s="3" t="inlineStr">
        <is>
          <t>BQ_tu?n_HK1</t>
        </is>
      </c>
      <c r="H2" s="3" t="inlineStr">
        <is>
          <t>BQ_tu?n_HK2</t>
        </is>
      </c>
      <c r="I2" s="3" t="inlineStr">
        <is>
          <t>Ch?nh_HK1</t>
        </is>
      </c>
      <c r="J2" s="3" t="inlineStr">
        <is>
          <t>Ch?nh_HK2</t>
        </is>
      </c>
      <c r="K2" s="3" t="inlineStr">
        <is>
          <t>T?ng_ti?t_n?m</t>
        </is>
      </c>
      <c r="L2" s="3" t="inlineStr">
        <is>
          <t>S?_d?ng_PC_HK1</t>
        </is>
      </c>
      <c r="M2" s="3" t="inlineStr">
        <is>
          <t>S?_d?ng_PC_HK2</t>
        </is>
      </c>
      <c r="N2" s="3" t="inlineStr">
        <is>
          <t>Ghi_ch?</t>
        </is>
      </c>
    </row>
    <row r="3">
      <c r="A3" s="4" t="inlineStr">
        <is>
          <t>GV_NV_01</t>
        </is>
      </c>
      <c r="B3" s="4" t="inlineStr">
        <is>
          <t>Nguy?n Th? Lan</t>
        </is>
      </c>
      <c r="C3" s="4" t="inlineStr">
        <is>
          <t>T? Ng? v?n</t>
        </is>
      </c>
      <c r="D3" s="4" t="n">
        <v>17</v>
      </c>
      <c r="E3" s="4">
        <f>SUMIF(Phan_cong!$L$3:$L$107,A3,Phan_cong!$J$3:$J$107)</f>
        <v/>
      </c>
      <c r="F3" s="4">
        <f>SUMIF(Phan_cong!$O$3:$O$107,A3,Phan_cong!$K$3:$K$107)</f>
        <v/>
      </c>
      <c r="G3" s="4">
        <f>IF(E3="","",ROUND(E3/Huong_dan!$B$5,2))</f>
        <v/>
      </c>
      <c r="H3" s="4">
        <f>IF(F3="","",ROUND(F3/Huong_dan!$B$6,2))</f>
        <v/>
      </c>
      <c r="I3" s="4">
        <f>IF(D3="","",ROUND(G3-D3,2))</f>
        <v/>
      </c>
      <c r="J3" s="4">
        <f>IF(D3="","",ROUND(H3-D3,2))</f>
        <v/>
      </c>
      <c r="K3" s="4">
        <f>E3+F3</f>
        <v/>
      </c>
      <c r="L3" s="4">
        <f>COUNTIF(Phan_cong!$L$3:$L$107,A3)</f>
        <v/>
      </c>
      <c r="M3" s="4">
        <f>COUNTIF(Phan_cong!$O$3:$O$107,A3)</f>
        <v/>
      </c>
      <c r="N3" s="4" t="inlineStr"/>
    </row>
    <row r="4">
      <c r="A4" s="4" t="inlineStr">
        <is>
          <t>GV_NV_02</t>
        </is>
      </c>
      <c r="B4" s="4" t="inlineStr">
        <is>
          <t>Ph?m Thu H?</t>
        </is>
      </c>
      <c r="C4" s="4" t="inlineStr">
        <is>
          <t>T? Ng? v?n</t>
        </is>
      </c>
      <c r="D4" s="4" t="n">
        <v>17</v>
      </c>
      <c r="E4" s="4">
        <f>SUMIF(Phan_cong!$L$3:$L$107,A4,Phan_cong!$J$3:$J$107)</f>
        <v/>
      </c>
      <c r="F4" s="4">
        <f>SUMIF(Phan_cong!$O$3:$O$107,A4,Phan_cong!$K$3:$K$107)</f>
        <v/>
      </c>
      <c r="G4" s="4">
        <f>IF(E4="","",ROUND(E4/Huong_dan!$B$5,2))</f>
        <v/>
      </c>
      <c r="H4" s="4">
        <f>IF(F4="","",ROUND(F4/Huong_dan!$B$6,2))</f>
        <v/>
      </c>
      <c r="I4" s="4">
        <f>IF(D4="","",ROUND(G4-D4,2))</f>
        <v/>
      </c>
      <c r="J4" s="4">
        <f>IF(D4="","",ROUND(H4-D4,2))</f>
        <v/>
      </c>
      <c r="K4" s="4">
        <f>E4+F4</f>
        <v/>
      </c>
      <c r="L4" s="4">
        <f>COUNTIF(Phan_cong!$L$3:$L$107,A4)</f>
        <v/>
      </c>
      <c r="M4" s="4">
        <f>COUNTIF(Phan_cong!$O$3:$O$107,A4)</f>
        <v/>
      </c>
      <c r="N4" s="4" t="inlineStr"/>
    </row>
    <row r="5">
      <c r="A5" s="4" t="inlineStr">
        <is>
          <t>GV_TOAN_01</t>
        </is>
      </c>
      <c r="B5" s="4" t="inlineStr">
        <is>
          <t>L? Quang Minh</t>
        </is>
      </c>
      <c r="C5" s="4" t="inlineStr">
        <is>
          <t>T? To?n - Tin</t>
        </is>
      </c>
      <c r="D5" s="4" t="n">
        <v>17</v>
      </c>
      <c r="E5" s="4">
        <f>SUMIF(Phan_cong!$L$3:$L$107,A5,Phan_cong!$J$3:$J$107)</f>
        <v/>
      </c>
      <c r="F5" s="4">
        <f>SUMIF(Phan_cong!$O$3:$O$107,A5,Phan_cong!$K$3:$K$107)</f>
        <v/>
      </c>
      <c r="G5" s="4">
        <f>IF(E5="","",ROUND(E5/Huong_dan!$B$5,2))</f>
        <v/>
      </c>
      <c r="H5" s="4">
        <f>IF(F5="","",ROUND(F5/Huong_dan!$B$6,2))</f>
        <v/>
      </c>
      <c r="I5" s="4">
        <f>IF(D5="","",ROUND(G5-D5,2))</f>
        <v/>
      </c>
      <c r="J5" s="4">
        <f>IF(D5="","",ROUND(H5-D5,2))</f>
        <v/>
      </c>
      <c r="K5" s="4">
        <f>E5+F5</f>
        <v/>
      </c>
      <c r="L5" s="4">
        <f>COUNTIF(Phan_cong!$L$3:$L$107,A5)</f>
        <v/>
      </c>
      <c r="M5" s="4">
        <f>COUNTIF(Phan_cong!$O$3:$O$107,A5)</f>
        <v/>
      </c>
      <c r="N5" s="4" t="inlineStr"/>
    </row>
    <row r="6">
      <c r="A6" s="4" t="inlineStr">
        <is>
          <t>GV_TOAN_02</t>
        </is>
      </c>
      <c r="B6" s="4" t="inlineStr">
        <is>
          <t>V? Th? H??ng</t>
        </is>
      </c>
      <c r="C6" s="4" t="inlineStr">
        <is>
          <t>T? To?n - Tin</t>
        </is>
      </c>
      <c r="D6" s="4" t="n">
        <v>16</v>
      </c>
      <c r="E6" s="4">
        <f>SUMIF(Phan_cong!$L$3:$L$107,A6,Phan_cong!$J$3:$J$107)</f>
        <v/>
      </c>
      <c r="F6" s="4">
        <f>SUMIF(Phan_cong!$O$3:$O$107,A6,Phan_cong!$K$3:$K$107)</f>
        <v/>
      </c>
      <c r="G6" s="4">
        <f>IF(E6="","",ROUND(E6/Huong_dan!$B$5,2))</f>
        <v/>
      </c>
      <c r="H6" s="4">
        <f>IF(F6="","",ROUND(F6/Huong_dan!$B$6,2))</f>
        <v/>
      </c>
      <c r="I6" s="4">
        <f>IF(D6="","",ROUND(G6-D6,2))</f>
        <v/>
      </c>
      <c r="J6" s="4">
        <f>IF(D6="","",ROUND(H6-D6,2))</f>
        <v/>
      </c>
      <c r="K6" s="4">
        <f>E6+F6</f>
        <v/>
      </c>
      <c r="L6" s="4">
        <f>COUNTIF(Phan_cong!$L$3:$L$107,A6)</f>
        <v/>
      </c>
      <c r="M6" s="4">
        <f>COUNTIF(Phan_cong!$O$3:$O$107,A6)</f>
        <v/>
      </c>
      <c r="N6" s="4" t="inlineStr"/>
    </row>
    <row r="7">
      <c r="A7" s="4" t="inlineStr">
        <is>
          <t>GV_ANH_01</t>
        </is>
      </c>
      <c r="B7" s="4" t="inlineStr">
        <is>
          <t>Tr?n Ho?i An</t>
        </is>
      </c>
      <c r="C7" s="4" t="inlineStr">
        <is>
          <t>T? Ngo?i ng?</t>
        </is>
      </c>
      <c r="D7" s="4" t="n">
        <v>17</v>
      </c>
      <c r="E7" s="4">
        <f>SUMIF(Phan_cong!$L$3:$L$107,A7,Phan_cong!$J$3:$J$107)</f>
        <v/>
      </c>
      <c r="F7" s="4">
        <f>SUMIF(Phan_cong!$O$3:$O$107,A7,Phan_cong!$K$3:$K$107)</f>
        <v/>
      </c>
      <c r="G7" s="4">
        <f>IF(E7="","",ROUND(E7/Huong_dan!$B$5,2))</f>
        <v/>
      </c>
      <c r="H7" s="4">
        <f>IF(F7="","",ROUND(F7/Huong_dan!$B$6,2))</f>
        <v/>
      </c>
      <c r="I7" s="4">
        <f>IF(D7="","",ROUND(G7-D7,2))</f>
        <v/>
      </c>
      <c r="J7" s="4">
        <f>IF(D7="","",ROUND(H7-D7,2))</f>
        <v/>
      </c>
      <c r="K7" s="4">
        <f>E7+F7</f>
        <v/>
      </c>
      <c r="L7" s="4">
        <f>COUNTIF(Phan_cong!$L$3:$L$107,A7)</f>
        <v/>
      </c>
      <c r="M7" s="4">
        <f>COUNTIF(Phan_cong!$O$3:$O$107,A7)</f>
        <v/>
      </c>
      <c r="N7" s="4" t="inlineStr"/>
    </row>
    <row r="8">
      <c r="A8" s="4" t="inlineStr">
        <is>
          <t>GV_ANH_02</t>
        </is>
      </c>
      <c r="B8" s="4" t="inlineStr">
        <is>
          <t>??o Kh?nh Linh</t>
        </is>
      </c>
      <c r="C8" s="4" t="inlineStr">
        <is>
          <t>T? Ngo?i ng?</t>
        </is>
      </c>
      <c r="D8" s="4" t="n">
        <v>17</v>
      </c>
      <c r="E8" s="4">
        <f>SUMIF(Phan_cong!$L$3:$L$107,A8,Phan_cong!$J$3:$J$107)</f>
        <v/>
      </c>
      <c r="F8" s="4">
        <f>SUMIF(Phan_cong!$O$3:$O$107,A8,Phan_cong!$K$3:$K$107)</f>
        <v/>
      </c>
      <c r="G8" s="4">
        <f>IF(E8="","",ROUND(E8/Huong_dan!$B$5,2))</f>
        <v/>
      </c>
      <c r="H8" s="4">
        <f>IF(F8="","",ROUND(F8/Huong_dan!$B$6,2))</f>
        <v/>
      </c>
      <c r="I8" s="4">
        <f>IF(D8="","",ROUND(G8-D8,2))</f>
        <v/>
      </c>
      <c r="J8" s="4">
        <f>IF(D8="","",ROUND(H8-D8,2))</f>
        <v/>
      </c>
      <c r="K8" s="4">
        <f>E8+F8</f>
        <v/>
      </c>
      <c r="L8" s="4">
        <f>COUNTIF(Phan_cong!$L$3:$L$107,A8)</f>
        <v/>
      </c>
      <c r="M8" s="4">
        <f>COUNTIF(Phan_cong!$O$3:$O$107,A8)</f>
        <v/>
      </c>
      <c r="N8" s="4" t="inlineStr"/>
    </row>
    <row r="9">
      <c r="A9" s="4" t="inlineStr">
        <is>
          <t>GV_LS_01</t>
        </is>
      </c>
      <c r="B9" s="4" t="inlineStr">
        <is>
          <t>??ng Th? H?a</t>
        </is>
      </c>
      <c r="C9" s="4" t="inlineStr">
        <is>
          <t>T? S? - ??a - KTPL</t>
        </is>
      </c>
      <c r="D9" s="4" t="n">
        <v>17</v>
      </c>
      <c r="E9" s="4">
        <f>SUMIF(Phan_cong!$L$3:$L$107,A9,Phan_cong!$J$3:$J$107)</f>
        <v/>
      </c>
      <c r="F9" s="4">
        <f>SUMIF(Phan_cong!$O$3:$O$107,A9,Phan_cong!$K$3:$K$107)</f>
        <v/>
      </c>
      <c r="G9" s="4">
        <f>IF(E9="","",ROUND(E9/Huong_dan!$B$5,2))</f>
        <v/>
      </c>
      <c r="H9" s="4">
        <f>IF(F9="","",ROUND(F9/Huong_dan!$B$6,2))</f>
        <v/>
      </c>
      <c r="I9" s="4">
        <f>IF(D9="","",ROUND(G9-D9,2))</f>
        <v/>
      </c>
      <c r="J9" s="4">
        <f>IF(D9="","",ROUND(H9-D9,2))</f>
        <v/>
      </c>
      <c r="K9" s="4">
        <f>E9+F9</f>
        <v/>
      </c>
      <c r="L9" s="4">
        <f>COUNTIF(Phan_cong!$L$3:$L$107,A9)</f>
        <v/>
      </c>
      <c r="M9" s="4">
        <f>COUNTIF(Phan_cong!$O$3:$O$107,A9)</f>
        <v/>
      </c>
      <c r="N9" s="4" t="inlineStr"/>
    </row>
    <row r="10">
      <c r="A10" s="4" t="inlineStr">
        <is>
          <t>GV_DL_01</t>
        </is>
      </c>
      <c r="B10" s="4" t="inlineStr">
        <is>
          <t>Ho?ng Ng?c S?n</t>
        </is>
      </c>
      <c r="C10" s="4" t="inlineStr">
        <is>
          <t>T? S? - ??a - KTPL</t>
        </is>
      </c>
      <c r="D10" s="4" t="n">
        <v>17</v>
      </c>
      <c r="E10" s="4">
        <f>SUMIF(Phan_cong!$L$3:$L$107,A10,Phan_cong!$J$3:$J$107)</f>
        <v/>
      </c>
      <c r="F10" s="4">
        <f>SUMIF(Phan_cong!$O$3:$O$107,A10,Phan_cong!$K$3:$K$107)</f>
        <v/>
      </c>
      <c r="G10" s="4">
        <f>IF(E10="","",ROUND(E10/Huong_dan!$B$5,2))</f>
        <v/>
      </c>
      <c r="H10" s="4">
        <f>IF(F10="","",ROUND(F10/Huong_dan!$B$6,2))</f>
        <v/>
      </c>
      <c r="I10" s="4">
        <f>IF(D10="","",ROUND(G10-D10,2))</f>
        <v/>
      </c>
      <c r="J10" s="4">
        <f>IF(D10="","",ROUND(H10-D10,2))</f>
        <v/>
      </c>
      <c r="K10" s="4">
        <f>E10+F10</f>
        <v/>
      </c>
      <c r="L10" s="4">
        <f>COUNTIF(Phan_cong!$L$3:$L$107,A10)</f>
        <v/>
      </c>
      <c r="M10" s="4">
        <f>COUNTIF(Phan_cong!$O$3:$O$107,A10)</f>
        <v/>
      </c>
      <c r="N10" s="4" t="inlineStr"/>
    </row>
    <row r="11">
      <c r="A11" s="4" t="inlineStr">
        <is>
          <t>GV_GDKTPL_01</t>
        </is>
      </c>
      <c r="B11" s="4" t="inlineStr">
        <is>
          <t>L? Thu Ph??ng</t>
        </is>
      </c>
      <c r="C11" s="4" t="inlineStr">
        <is>
          <t>T? S? - ??a - KTPL</t>
        </is>
      </c>
      <c r="D11" s="4" t="n">
        <v>17</v>
      </c>
      <c r="E11" s="4">
        <f>SUMIF(Phan_cong!$L$3:$L$107,A11,Phan_cong!$J$3:$J$107)</f>
        <v/>
      </c>
      <c r="F11" s="4">
        <f>SUMIF(Phan_cong!$O$3:$O$107,A11,Phan_cong!$K$3:$K$107)</f>
        <v/>
      </c>
      <c r="G11" s="4">
        <f>IF(E11="","",ROUND(E11/Huong_dan!$B$5,2))</f>
        <v/>
      </c>
      <c r="H11" s="4">
        <f>IF(F11="","",ROUND(F11/Huong_dan!$B$6,2))</f>
        <v/>
      </c>
      <c r="I11" s="4">
        <f>IF(D11="","",ROUND(G11-D11,2))</f>
        <v/>
      </c>
      <c r="J11" s="4">
        <f>IF(D11="","",ROUND(H11-D11,2))</f>
        <v/>
      </c>
      <c r="K11" s="4">
        <f>E11+F11</f>
        <v/>
      </c>
      <c r="L11" s="4">
        <f>COUNTIF(Phan_cong!$L$3:$L$107,A11)</f>
        <v/>
      </c>
      <c r="M11" s="4">
        <f>COUNTIF(Phan_cong!$O$3:$O$107,A11)</f>
        <v/>
      </c>
      <c r="N11" s="4" t="inlineStr"/>
    </row>
    <row r="12">
      <c r="A12" s="4" t="inlineStr">
        <is>
          <t>GV_VL_01</t>
        </is>
      </c>
      <c r="B12" s="4" t="inlineStr">
        <is>
          <t>Phan Qu?c B?o</t>
        </is>
      </c>
      <c r="C12" s="4" t="inlineStr">
        <is>
          <t>T? KHTN</t>
        </is>
      </c>
      <c r="D12" s="4" t="n">
        <v>17</v>
      </c>
      <c r="E12" s="4">
        <f>SUMIF(Phan_cong!$L$3:$L$107,A12,Phan_cong!$J$3:$J$107)</f>
        <v/>
      </c>
      <c r="F12" s="4">
        <f>SUMIF(Phan_cong!$O$3:$O$107,A12,Phan_cong!$K$3:$K$107)</f>
        <v/>
      </c>
      <c r="G12" s="4">
        <f>IF(E12="","",ROUND(E12/Huong_dan!$B$5,2))</f>
        <v/>
      </c>
      <c r="H12" s="4">
        <f>IF(F12="","",ROUND(F12/Huong_dan!$B$6,2))</f>
        <v/>
      </c>
      <c r="I12" s="4">
        <f>IF(D12="","",ROUND(G12-D12,2))</f>
        <v/>
      </c>
      <c r="J12" s="4">
        <f>IF(D12="","",ROUND(H12-D12,2))</f>
        <v/>
      </c>
      <c r="K12" s="4">
        <f>E12+F12</f>
        <v/>
      </c>
      <c r="L12" s="4">
        <f>COUNTIF(Phan_cong!$L$3:$L$107,A12)</f>
        <v/>
      </c>
      <c r="M12" s="4">
        <f>COUNTIF(Phan_cong!$O$3:$O$107,A12)</f>
        <v/>
      </c>
      <c r="N12" s="4" t="inlineStr"/>
    </row>
    <row r="13">
      <c r="A13" s="4" t="inlineStr">
        <is>
          <t>GV_VL_02</t>
        </is>
      </c>
      <c r="B13" s="4" t="inlineStr">
        <is>
          <t>Ng? Minh ??c</t>
        </is>
      </c>
      <c r="C13" s="4" t="inlineStr">
        <is>
          <t>T? KHTN</t>
        </is>
      </c>
      <c r="D13" s="4" t="n">
        <v>17</v>
      </c>
      <c r="E13" s="4">
        <f>SUMIF(Phan_cong!$L$3:$L$107,A13,Phan_cong!$J$3:$J$107)</f>
        <v/>
      </c>
      <c r="F13" s="4">
        <f>SUMIF(Phan_cong!$O$3:$O$107,A13,Phan_cong!$K$3:$K$107)</f>
        <v/>
      </c>
      <c r="G13" s="4">
        <f>IF(E13="","",ROUND(E13/Huong_dan!$B$5,2))</f>
        <v/>
      </c>
      <c r="H13" s="4">
        <f>IF(F13="","",ROUND(F13/Huong_dan!$B$6,2))</f>
        <v/>
      </c>
      <c r="I13" s="4">
        <f>IF(D13="","",ROUND(G13-D13,2))</f>
        <v/>
      </c>
      <c r="J13" s="4">
        <f>IF(D13="","",ROUND(H13-D13,2))</f>
        <v/>
      </c>
      <c r="K13" s="4">
        <f>E13+F13</f>
        <v/>
      </c>
      <c r="L13" s="4">
        <f>COUNTIF(Phan_cong!$L$3:$L$107,A13)</f>
        <v/>
      </c>
      <c r="M13" s="4">
        <f>COUNTIF(Phan_cong!$O$3:$O$107,A13)</f>
        <v/>
      </c>
      <c r="N13" s="4" t="inlineStr"/>
    </row>
    <row r="14">
      <c r="A14" s="4" t="inlineStr">
        <is>
          <t>GV_HH_01</t>
        </is>
      </c>
      <c r="B14" s="4" t="inlineStr">
        <is>
          <t>Tr?nh Thu Trang</t>
        </is>
      </c>
      <c r="C14" s="4" t="inlineStr">
        <is>
          <t>T? KHTN</t>
        </is>
      </c>
      <c r="D14" s="4" t="n">
        <v>17</v>
      </c>
      <c r="E14" s="4">
        <f>SUMIF(Phan_cong!$L$3:$L$107,A14,Phan_cong!$J$3:$J$107)</f>
        <v/>
      </c>
      <c r="F14" s="4">
        <f>SUMIF(Phan_cong!$O$3:$O$107,A14,Phan_cong!$K$3:$K$107)</f>
        <v/>
      </c>
      <c r="G14" s="4">
        <f>IF(E14="","",ROUND(E14/Huong_dan!$B$5,2))</f>
        <v/>
      </c>
      <c r="H14" s="4">
        <f>IF(F14="","",ROUND(F14/Huong_dan!$B$6,2))</f>
        <v/>
      </c>
      <c r="I14" s="4">
        <f>IF(D14="","",ROUND(G14-D14,2))</f>
        <v/>
      </c>
      <c r="J14" s="4">
        <f>IF(D14="","",ROUND(H14-D14,2))</f>
        <v/>
      </c>
      <c r="K14" s="4">
        <f>E14+F14</f>
        <v/>
      </c>
      <c r="L14" s="4">
        <f>COUNTIF(Phan_cong!$L$3:$L$107,A14)</f>
        <v/>
      </c>
      <c r="M14" s="4">
        <f>COUNTIF(Phan_cong!$O$3:$O$107,A14)</f>
        <v/>
      </c>
      <c r="N14" s="4" t="inlineStr"/>
    </row>
    <row r="15">
      <c r="A15" s="4" t="inlineStr">
        <is>
          <t>GV_HH_02</t>
        </is>
      </c>
      <c r="B15" s="4" t="inlineStr">
        <is>
          <t>Nguy?n Th?o Vy</t>
        </is>
      </c>
      <c r="C15" s="4" t="inlineStr">
        <is>
          <t>T? KHTN</t>
        </is>
      </c>
      <c r="D15" s="4" t="n">
        <v>17</v>
      </c>
      <c r="E15" s="4">
        <f>SUMIF(Phan_cong!$L$3:$L$107,A15,Phan_cong!$J$3:$J$107)</f>
        <v/>
      </c>
      <c r="F15" s="4">
        <f>SUMIF(Phan_cong!$O$3:$O$107,A15,Phan_cong!$K$3:$K$107)</f>
        <v/>
      </c>
      <c r="G15" s="4">
        <f>IF(E15="","",ROUND(E15/Huong_dan!$B$5,2))</f>
        <v/>
      </c>
      <c r="H15" s="4">
        <f>IF(F15="","",ROUND(F15/Huong_dan!$B$6,2))</f>
        <v/>
      </c>
      <c r="I15" s="4">
        <f>IF(D15="","",ROUND(G15-D15,2))</f>
        <v/>
      </c>
      <c r="J15" s="4">
        <f>IF(D15="","",ROUND(H15-D15,2))</f>
        <v/>
      </c>
      <c r="K15" s="4">
        <f>E15+F15</f>
        <v/>
      </c>
      <c r="L15" s="4">
        <f>COUNTIF(Phan_cong!$L$3:$L$107,A15)</f>
        <v/>
      </c>
      <c r="M15" s="4">
        <f>COUNTIF(Phan_cong!$O$3:$O$107,A15)</f>
        <v/>
      </c>
      <c r="N15" s="4" t="inlineStr"/>
    </row>
    <row r="16">
      <c r="A16" s="4" t="inlineStr">
        <is>
          <t>GV_SH_01</t>
        </is>
      </c>
      <c r="B16" s="4" t="inlineStr">
        <is>
          <t>B?i Th? Mai</t>
        </is>
      </c>
      <c r="C16" s="4" t="inlineStr">
        <is>
          <t>T? KHTN</t>
        </is>
      </c>
      <c r="D16" s="4" t="n">
        <v>17</v>
      </c>
      <c r="E16" s="4">
        <f>SUMIF(Phan_cong!$L$3:$L$107,A16,Phan_cong!$J$3:$J$107)</f>
        <v/>
      </c>
      <c r="F16" s="4">
        <f>SUMIF(Phan_cong!$O$3:$O$107,A16,Phan_cong!$K$3:$K$107)</f>
        <v/>
      </c>
      <c r="G16" s="4">
        <f>IF(E16="","",ROUND(E16/Huong_dan!$B$5,2))</f>
        <v/>
      </c>
      <c r="H16" s="4">
        <f>IF(F16="","",ROUND(F16/Huong_dan!$B$6,2))</f>
        <v/>
      </c>
      <c r="I16" s="4">
        <f>IF(D16="","",ROUND(G16-D16,2))</f>
        <v/>
      </c>
      <c r="J16" s="4">
        <f>IF(D16="","",ROUND(H16-D16,2))</f>
        <v/>
      </c>
      <c r="K16" s="4">
        <f>E16+F16</f>
        <v/>
      </c>
      <c r="L16" s="4">
        <f>COUNTIF(Phan_cong!$L$3:$L$107,A16)</f>
        <v/>
      </c>
      <c r="M16" s="4">
        <f>COUNTIF(Phan_cong!$O$3:$O$107,A16)</f>
        <v/>
      </c>
      <c r="N16" s="4" t="inlineStr"/>
    </row>
    <row r="17">
      <c r="A17" s="4" t="inlineStr">
        <is>
          <t>GV_CN_01</t>
        </is>
      </c>
      <c r="B17" s="4" t="inlineStr">
        <is>
          <t>Nguy?n H?u Ph?c</t>
        </is>
      </c>
      <c r="C17" s="4" t="inlineStr">
        <is>
          <t>T? C?ng ngh?</t>
        </is>
      </c>
      <c r="D17" s="4" t="n">
        <v>17</v>
      </c>
      <c r="E17" s="4">
        <f>SUMIF(Phan_cong!$L$3:$L$107,A17,Phan_cong!$J$3:$J$107)</f>
        <v/>
      </c>
      <c r="F17" s="4">
        <f>SUMIF(Phan_cong!$O$3:$O$107,A17,Phan_cong!$K$3:$K$107)</f>
        <v/>
      </c>
      <c r="G17" s="4">
        <f>IF(E17="","",ROUND(E17/Huong_dan!$B$5,2))</f>
        <v/>
      </c>
      <c r="H17" s="4">
        <f>IF(F17="","",ROUND(F17/Huong_dan!$B$6,2))</f>
        <v/>
      </c>
      <c r="I17" s="4">
        <f>IF(D17="","",ROUND(G17-D17,2))</f>
        <v/>
      </c>
      <c r="J17" s="4">
        <f>IF(D17="","",ROUND(H17-D17,2))</f>
        <v/>
      </c>
      <c r="K17" s="4">
        <f>E17+F17</f>
        <v/>
      </c>
      <c r="L17" s="4">
        <f>COUNTIF(Phan_cong!$L$3:$L$107,A17)</f>
        <v/>
      </c>
      <c r="M17" s="4">
        <f>COUNTIF(Phan_cong!$O$3:$O$107,A17)</f>
        <v/>
      </c>
      <c r="N17" s="4" t="inlineStr"/>
    </row>
    <row r="18">
      <c r="A18" s="4" t="inlineStr">
        <is>
          <t>GV_TH_01</t>
        </is>
      </c>
      <c r="B18" s="4" t="inlineStr">
        <is>
          <t>Ph?m ??c Anh</t>
        </is>
      </c>
      <c r="C18" s="4" t="inlineStr">
        <is>
          <t>T? To?n - Tin</t>
        </is>
      </c>
      <c r="D18" s="4" t="n">
        <v>17</v>
      </c>
      <c r="E18" s="4">
        <f>SUMIF(Phan_cong!$L$3:$L$107,A18,Phan_cong!$J$3:$J$107)</f>
        <v/>
      </c>
      <c r="F18" s="4">
        <f>SUMIF(Phan_cong!$O$3:$O$107,A18,Phan_cong!$K$3:$K$107)</f>
        <v/>
      </c>
      <c r="G18" s="4">
        <f>IF(E18="","",ROUND(E18/Huong_dan!$B$5,2))</f>
        <v/>
      </c>
      <c r="H18" s="4">
        <f>IF(F18="","",ROUND(F18/Huong_dan!$B$6,2))</f>
        <v/>
      </c>
      <c r="I18" s="4">
        <f>IF(D18="","",ROUND(G18-D18,2))</f>
        <v/>
      </c>
      <c r="J18" s="4">
        <f>IF(D18="","",ROUND(H18-D18,2))</f>
        <v/>
      </c>
      <c r="K18" s="4">
        <f>E18+F18</f>
        <v/>
      </c>
      <c r="L18" s="4">
        <f>COUNTIF(Phan_cong!$L$3:$L$107,A18)</f>
        <v/>
      </c>
      <c r="M18" s="4">
        <f>COUNTIF(Phan_cong!$O$3:$O$107,A18)</f>
        <v/>
      </c>
      <c r="N18" s="4" t="inlineStr"/>
    </row>
    <row r="19">
      <c r="A19" s="4" t="inlineStr">
        <is>
          <t>GV_TH_02</t>
        </is>
      </c>
      <c r="B19" s="4" t="inlineStr">
        <is>
          <t>L? Minh T?m</t>
        </is>
      </c>
      <c r="C19" s="4" t="inlineStr">
        <is>
          <t>T? To?n - Tin</t>
        </is>
      </c>
      <c r="D19" s="4" t="n">
        <v>17</v>
      </c>
      <c r="E19" s="4">
        <f>SUMIF(Phan_cong!$L$3:$L$107,A19,Phan_cong!$J$3:$J$107)</f>
        <v/>
      </c>
      <c r="F19" s="4">
        <f>SUMIF(Phan_cong!$O$3:$O$107,A19,Phan_cong!$K$3:$K$107)</f>
        <v/>
      </c>
      <c r="G19" s="4">
        <f>IF(E19="","",ROUND(E19/Huong_dan!$B$5,2))</f>
        <v/>
      </c>
      <c r="H19" s="4">
        <f>IF(F19="","",ROUND(F19/Huong_dan!$B$6,2))</f>
        <v/>
      </c>
      <c r="I19" s="4">
        <f>IF(D19="","",ROUND(G19-D19,2))</f>
        <v/>
      </c>
      <c r="J19" s="4">
        <f>IF(D19="","",ROUND(H19-D19,2))</f>
        <v/>
      </c>
      <c r="K19" s="4">
        <f>E19+F19</f>
        <v/>
      </c>
      <c r="L19" s="4">
        <f>COUNTIF(Phan_cong!$L$3:$L$107,A19)</f>
        <v/>
      </c>
      <c r="M19" s="4">
        <f>COUNTIF(Phan_cong!$O$3:$O$107,A19)</f>
        <v/>
      </c>
      <c r="N19" s="4" t="inlineStr"/>
    </row>
    <row r="20">
      <c r="A20" s="4" t="inlineStr">
        <is>
          <t>GV_GDTC_01</t>
        </is>
      </c>
      <c r="B20" s="4" t="inlineStr">
        <is>
          <t>Ph?m V?n D?ng</t>
        </is>
      </c>
      <c r="C20" s="4" t="inlineStr">
        <is>
          <t>T? Th? ch?t - QPAN</t>
        </is>
      </c>
      <c r="D20" s="4" t="n">
        <v>17</v>
      </c>
      <c r="E20" s="4">
        <f>SUMIF(Phan_cong!$L$3:$L$107,A20,Phan_cong!$J$3:$J$107)</f>
        <v/>
      </c>
      <c r="F20" s="4">
        <f>SUMIF(Phan_cong!$O$3:$O$107,A20,Phan_cong!$K$3:$K$107)</f>
        <v/>
      </c>
      <c r="G20" s="4">
        <f>IF(E20="","",ROUND(E20/Huong_dan!$B$5,2))</f>
        <v/>
      </c>
      <c r="H20" s="4">
        <f>IF(F20="","",ROUND(F20/Huong_dan!$B$6,2))</f>
        <v/>
      </c>
      <c r="I20" s="4">
        <f>IF(D20="","",ROUND(G20-D20,2))</f>
        <v/>
      </c>
      <c r="J20" s="4">
        <f>IF(D20="","",ROUND(H20-D20,2))</f>
        <v/>
      </c>
      <c r="K20" s="4">
        <f>E20+F20</f>
        <v/>
      </c>
      <c r="L20" s="4">
        <f>COUNTIF(Phan_cong!$L$3:$L$107,A20)</f>
        <v/>
      </c>
      <c r="M20" s="4">
        <f>COUNTIF(Phan_cong!$O$3:$O$107,A20)</f>
        <v/>
      </c>
      <c r="N20" s="4" t="inlineStr"/>
    </row>
    <row r="21">
      <c r="A21" s="4" t="inlineStr">
        <is>
          <t>GV_QPAN_01</t>
        </is>
      </c>
      <c r="B21" s="4" t="inlineStr">
        <is>
          <t>Nguy?n Qu?c Vi?t</t>
        </is>
      </c>
      <c r="C21" s="4" t="inlineStr">
        <is>
          <t>T? Th? ch?t - QPAN</t>
        </is>
      </c>
      <c r="D21" s="4" t="n">
        <v>17</v>
      </c>
      <c r="E21" s="4">
        <f>SUMIF(Phan_cong!$L$3:$L$107,A21,Phan_cong!$J$3:$J$107)</f>
        <v/>
      </c>
      <c r="F21" s="4">
        <f>SUMIF(Phan_cong!$O$3:$O$107,A21,Phan_cong!$K$3:$K$107)</f>
        <v/>
      </c>
      <c r="G21" s="4">
        <f>IF(E21="","",ROUND(E21/Huong_dan!$B$5,2))</f>
        <v/>
      </c>
      <c r="H21" s="4">
        <f>IF(F21="","",ROUND(F21/Huong_dan!$B$6,2))</f>
        <v/>
      </c>
      <c r="I21" s="4">
        <f>IF(D21="","",ROUND(G21-D21,2))</f>
        <v/>
      </c>
      <c r="J21" s="4">
        <f>IF(D21="","",ROUND(H21-D21,2))</f>
        <v/>
      </c>
      <c r="K21" s="4">
        <f>E21+F21</f>
        <v/>
      </c>
      <c r="L21" s="4">
        <f>COUNTIF(Phan_cong!$L$3:$L$107,A21)</f>
        <v/>
      </c>
      <c r="M21" s="4">
        <f>COUNTIF(Phan_cong!$O$3:$O$107,A21)</f>
        <v/>
      </c>
      <c r="N21" s="4" t="inlineStr"/>
    </row>
    <row r="22">
      <c r="A22" s="4" t="inlineStr">
        <is>
          <t>GV_AN_01</t>
        </is>
      </c>
      <c r="B22" s="4" t="inlineStr">
        <is>
          <t>D??ng Thu Th?o</t>
        </is>
      </c>
      <c r="C22" s="4" t="inlineStr">
        <is>
          <t>T? Ngh? thu?t</t>
        </is>
      </c>
      <c r="D22" s="4" t="n">
        <v>17</v>
      </c>
      <c r="E22" s="4">
        <f>SUMIF(Phan_cong!$L$3:$L$107,A22,Phan_cong!$J$3:$J$107)</f>
        <v/>
      </c>
      <c r="F22" s="4">
        <f>SUMIF(Phan_cong!$O$3:$O$107,A22,Phan_cong!$K$3:$K$107)</f>
        <v/>
      </c>
      <c r="G22" s="4">
        <f>IF(E22="","",ROUND(E22/Huong_dan!$B$5,2))</f>
        <v/>
      </c>
      <c r="H22" s="4">
        <f>IF(F22="","",ROUND(F22/Huong_dan!$B$6,2))</f>
        <v/>
      </c>
      <c r="I22" s="4">
        <f>IF(D22="","",ROUND(G22-D22,2))</f>
        <v/>
      </c>
      <c r="J22" s="4">
        <f>IF(D22="","",ROUND(H22-D22,2))</f>
        <v/>
      </c>
      <c r="K22" s="4">
        <f>E22+F22</f>
        <v/>
      </c>
      <c r="L22" s="4">
        <f>COUNTIF(Phan_cong!$L$3:$L$107,A22)</f>
        <v/>
      </c>
      <c r="M22" s="4">
        <f>COUNTIF(Phan_cong!$O$3:$O$107,A22)</f>
        <v/>
      </c>
      <c r="N22" s="4" t="inlineStr"/>
    </row>
    <row r="23">
      <c r="A23" s="4" t="inlineStr">
        <is>
          <t>GV_MT_01</t>
        </is>
      </c>
      <c r="B23" s="4" t="inlineStr">
        <is>
          <t>L? Minh Ch?u</t>
        </is>
      </c>
      <c r="C23" s="4" t="inlineStr">
        <is>
          <t>T? Ngh? thu?t</t>
        </is>
      </c>
      <c r="D23" s="4" t="n">
        <v>17</v>
      </c>
      <c r="E23" s="4">
        <f>SUMIF(Phan_cong!$L$3:$L$107,A23,Phan_cong!$J$3:$J$107)</f>
        <v/>
      </c>
      <c r="F23" s="4">
        <f>SUMIF(Phan_cong!$O$3:$O$107,A23,Phan_cong!$K$3:$K$107)</f>
        <v/>
      </c>
      <c r="G23" s="4">
        <f>IF(E23="","",ROUND(E23/Huong_dan!$B$5,2))</f>
        <v/>
      </c>
      <c r="H23" s="4">
        <f>IF(F23="","",ROUND(F23/Huong_dan!$B$6,2))</f>
        <v/>
      </c>
      <c r="I23" s="4">
        <f>IF(D23="","",ROUND(G23-D23,2))</f>
        <v/>
      </c>
      <c r="J23" s="4">
        <f>IF(D23="","",ROUND(H23-D23,2))</f>
        <v/>
      </c>
      <c r="K23" s="4">
        <f>E23+F23</f>
        <v/>
      </c>
      <c r="L23" s="4">
        <f>COUNTIF(Phan_cong!$L$3:$L$107,A23)</f>
        <v/>
      </c>
      <c r="M23" s="4">
        <f>COUNTIF(Phan_cong!$O$3:$O$107,A23)</f>
        <v/>
      </c>
      <c r="N23" s="4" t="inlineStr"/>
    </row>
  </sheetData>
  <autoFilter ref="A2:N23"/>
  <mergeCells count="1">
    <mergeCell ref="A1:N1"/>
  </mergeCells>
  <conditionalFormatting sqref="I3:J23">
    <cfRule type="cellIs" priority="1" operator="greaterThan" dxfId="0">
      <formula>1</formula>
    </cfRule>
    <cfRule type="cellIs" priority="2" operator="between" dxfId="1">
      <formula>-1</formula>
      <formula>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2026-03-12T15:09:06Z</dcterms:created>
  <dcterms:modified xsi:type="dcterms:W3CDTF">2026-03-12T15:09:06Z</dcterms:modified>
</cp:coreProperties>
</file>