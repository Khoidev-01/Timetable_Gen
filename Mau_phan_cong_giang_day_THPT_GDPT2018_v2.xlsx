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Nguon_tham_khao" sheetId="2" state="visible" r:id="rId2"/>
    <sheet name="DM_Mon_GDPT2018" sheetId="3" state="visible" r:id="rId3"/>
    <sheet name="DM_Giao_vien" sheetId="4" state="visible" r:id="rId4"/>
    <sheet name="DM_Lop" sheetId="5" state="visible" r:id="rId5"/>
    <sheet name="DM_To_hop" sheetId="6" state="visible" r:id="rId6"/>
    <sheet name="Phan_cong" sheetId="7" state="visible" r:id="rId7"/>
    <sheet name="Tong_hop_GV" sheetId="8" state="visible" r:id="rId8"/>
  </sheets>
  <definedNames>
    <definedName name="_xlnm._FilterDatabase" localSheetId="6" hidden="1">'Phan_cong'!$A$2:$R$302</definedName>
    <definedName name="_xlnm._FilterDatabase" localSheetId="7" hidden="1">'Tong_hop_GV'!$A$2:$N$102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sz val="14"/>
    </font>
    <font>
      <b val="1"/>
      <color rgb="00FFFFFF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huvienphapluat.vn/van-ban/Giao-duc/Thong-tu-32-2018-TT-BGDDT-Chuong-trinh-giao-duc-pho-thong-403454.aspx" TargetMode="External" Id="rId1" /><Relationship Type="http://schemas.openxmlformats.org/officeDocument/2006/relationships/hyperlink" Target="https://thuvienphapluat.vn/van-ban/Giao-duc/Thong-tu-13-2022-TT-BGDDT-sua-doi-Thong-tu-32-2018-TT-BGDDT-Chuong-trinh-giao-duc-524666.aspx" TargetMode="External" Id="rId2" /><Relationship Type="http://schemas.openxmlformats.org/officeDocument/2006/relationships/hyperlink" Target="https://moet.gov.vn/content/tintuc/Lists/News/Attachments/8421/chuong-trinh-tong-the-ctgdpt-2018.pdf" TargetMode="External" Id="rId3" /><Relationship Type="http://schemas.openxmlformats.org/officeDocument/2006/relationships/hyperlink" Target="https://thuvienphapluat.vn/cong-van/Giao-duc/Cong-van-5512-BGDDT-GDTrH-2020-xay-dung-va-to-chuc-thuc-hien-ke-hoach-giao-duc-cua-nha-truong-462988.aspx" TargetMode="External" Id="rId4" /><Relationship Type="http://schemas.openxmlformats.org/officeDocument/2006/relationships/hyperlink" Target="https://congbao.chinhphu.vn/van-ban/thong-tu-so-05-2025-tt-bgddt-44543.htm" TargetMode="External" Id="rId5" /><Relationship Type="http://schemas.openxmlformats.org/officeDocument/2006/relationships/hyperlink" Target="https://www.ptth-huynhthuckhang-quangnam.edu.vn/Files/files/Nam%20hoc%202025-2026/54_KH-THPTHTK_signed_signed_signed.pdf" TargetMode="External" Id="rId6" /><Relationship Type="http://schemas.openxmlformats.org/officeDocument/2006/relationships/hyperlink" Target="https://thpthoaiduca.hanoi.edu.vn/tuyen-sinh-vao-10-thpt/thong-tin-moi-nhat-ve-chuong-trinh-giao-duc-lop-10-nam-hoc-2025-2026-cua-truong/ctmb/21600/24731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Mau phan cong giang day THPT theo cau truc GDPT 2018</t>
        </is>
      </c>
    </row>
    <row r="2">
      <c r="A2" s="2" t="inlineStr">
        <is>
          <t>Luu y: Day la mau tong hop thuc hanh duoc xay dung tu cac van ban/nguon tham khao; khong phai mot bieu mau Excel bat buoc duy nhat do Bo GD&amp;DT ban hanh.</t>
        </is>
      </c>
    </row>
    <row r="4">
      <c r="A4" s="3" t="inlineStr">
        <is>
          <t>Tham so mac dinh</t>
        </is>
      </c>
    </row>
    <row r="5">
      <c r="A5" s="4" t="inlineStr">
        <is>
          <t>Thong so</t>
        </is>
      </c>
      <c r="B5" s="4" t="inlineStr">
        <is>
          <t>Gia tri</t>
        </is>
      </c>
      <c r="C5" s="4" t="inlineStr">
        <is>
          <t>Ghi chu</t>
        </is>
      </c>
    </row>
    <row r="6">
      <c r="A6" s="5" t="inlineStr">
        <is>
          <t>Nam hoc</t>
        </is>
      </c>
      <c r="B6" s="6" t="inlineStr">
        <is>
          <t>2026-2027</t>
        </is>
      </c>
      <c r="C6" s="5" t="inlineStr">
        <is>
          <t>Sua theo nam hoc su dung file</t>
        </is>
      </c>
    </row>
    <row r="7">
      <c r="A7" s="5" t="inlineStr">
        <is>
          <t>So tuan HK1</t>
        </is>
      </c>
      <c r="B7" s="6" t="n">
        <v>18</v>
      </c>
      <c r="C7" s="5" t="inlineStr">
        <is>
          <t>Co the dieu chinh theo ke hoach nam hoc cua dia phuong/truong</t>
        </is>
      </c>
    </row>
    <row r="8">
      <c r="A8" s="5" t="inlineStr">
        <is>
          <t>So tuan HK2</t>
        </is>
      </c>
      <c r="B8" s="6" t="n">
        <v>17</v>
      </c>
      <c r="C8" s="5" t="inlineStr">
        <is>
          <t>Tong 35 tuan thuc hoc cap THPT</t>
        </is>
      </c>
    </row>
    <row r="9">
      <c r="A9" s="5" t="inlineStr">
        <is>
          <t>Tong so tuan nam hoc</t>
        </is>
      </c>
      <c r="B9" s="6">
        <f>B7+B8</f>
        <v/>
      </c>
      <c r="C9" s="5" t="inlineStr">
        <is>
          <t>Tham chieu cong thuc trong cac sheet tong hop</t>
        </is>
      </c>
    </row>
    <row r="10">
      <c r="A10" s="5" t="inlineStr">
        <is>
          <t>Dinh muc tiet/tu?n GV THPT</t>
        </is>
      </c>
      <c r="B10" s="6" t="n">
        <v>17</v>
      </c>
      <c r="C10" s="5" t="inlineStr">
        <is>
          <t>Mac dinh tham chieu theo TT 05/2025/TT-BGDDT; co the sua theo truong hop giam tru</t>
        </is>
      </c>
    </row>
    <row r="11">
      <c r="A11" s="3" t="inlineStr">
        <is>
          <t>Nguyen tac cau truc mau</t>
        </is>
      </c>
    </row>
    <row r="12">
      <c r="A12" s="6" t="inlineStr">
        <is>
          <t>1. Cap THPT theo GDPT 2018 co 8 mon/hoat dong giao duc bat buoc; hoc sinh chon 4 mon tu danh muc mon lua chon hien hanh.</t>
        </is>
      </c>
      <c r="B12" s="8" t="n"/>
      <c r="C12" s="8" t="n"/>
      <c r="D12" s="8" t="n"/>
      <c r="E12" s="8" t="n"/>
      <c r="F12" s="8" t="n"/>
      <c r="G12" s="8" t="n"/>
      <c r="H12" s="9" t="n"/>
    </row>
    <row r="13">
      <c r="A13" s="6" t="inlineStr">
        <is>
          <t>2. Mon Lich su da duoc dieu chinh thanh phan bat buoc 52 tiet/nam; vi vay trong mau nay Lich su duoc dat o nhom bat buoc.</t>
        </is>
      </c>
      <c r="B13" s="8" t="n"/>
      <c r="C13" s="8" t="n"/>
      <c r="D13" s="8" t="n"/>
      <c r="E13" s="8" t="n"/>
      <c r="F13" s="8" t="n"/>
      <c r="G13" s="8" t="n"/>
      <c r="H13" s="9" t="n"/>
    </row>
    <row r="14">
      <c r="A14" s="6" t="inlineStr">
        <is>
          <t>3. Cac truong xay dung to hop mon lua chon va 3 cum chuyen de hoc tap phu hop nhu cau hoc sinh, doi ngu va co so vat chat.</t>
        </is>
      </c>
      <c r="B14" s="8" t="n"/>
      <c r="C14" s="8" t="n"/>
      <c r="D14" s="8" t="n"/>
      <c r="E14" s="8" t="n"/>
      <c r="F14" s="8" t="n"/>
      <c r="G14" s="8" t="n"/>
      <c r="H14" s="9" t="n"/>
    </row>
    <row r="15">
      <c r="A15" s="6" t="inlineStr">
        <is>
          <t>4. Mau phan cong chinh duoc to chuc theo nam hoc, tach GV HK1/GV HK2 de phu hop cach cong khai phan cong chuyen mon pho bien o truong THPT.</t>
        </is>
      </c>
      <c r="B15" s="8" t="n"/>
      <c r="C15" s="8" t="n"/>
      <c r="D15" s="8" t="n"/>
      <c r="E15" s="8" t="n"/>
      <c r="F15" s="8" t="n"/>
      <c r="G15" s="8" t="n"/>
      <c r="H15" s="9" t="n"/>
    </row>
    <row r="16">
      <c r="A16" s="6" t="inlineStr">
        <is>
          <t>5. Sheet Tong_hop_GV tu dong quy doi tiet HK1/HK2 ra tiet trung binh/tuan de doi chieu dinh muc giao vien.</t>
        </is>
      </c>
      <c r="B16" s="8" t="n"/>
      <c r="C16" s="8" t="n"/>
      <c r="D16" s="8" t="n"/>
      <c r="E16" s="8" t="n"/>
      <c r="F16" s="8" t="n"/>
      <c r="G16" s="8" t="n"/>
      <c r="H16" s="9" t="n"/>
    </row>
    <row r="18">
      <c r="A18" t="inlineStr">
        <is>
          <t>Cach dung nhanh</t>
        </is>
      </c>
    </row>
    <row r="19">
      <c r="A19" s="6" t="inlineStr">
        <is>
          <t>Buoc 1: Dien danh muc giao vien trong sheet DM_Giao_vien.</t>
        </is>
      </c>
      <c r="B19" s="8" t="n"/>
      <c r="C19" s="8" t="n"/>
      <c r="D19" s="8" t="n"/>
      <c r="E19" s="8" t="n"/>
      <c r="F19" s="8" t="n"/>
      <c r="G19" s="8" t="n"/>
      <c r="H19" s="9" t="n"/>
    </row>
    <row r="20">
      <c r="A20" s="6" t="inlineStr">
        <is>
          <t>Buoc 2: Dien danh muc lop trong sheet DM_Lop va ma to hop lop dang ap dung.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6" t="inlineStr">
        <is>
          <t>Buoc 3: Kiem tra/chinh sua sheet DM_To_hop theo phuong an cua truong.</t>
        </is>
      </c>
      <c r="B21" s="8" t="n"/>
      <c r="C21" s="8" t="n"/>
      <c r="D21" s="8" t="n"/>
      <c r="E21" s="8" t="n"/>
      <c r="F21" s="8" t="n"/>
      <c r="G21" s="8" t="n"/>
      <c r="H21" s="9" t="n"/>
    </row>
    <row r="22">
      <c r="A22" s="6" t="inlineStr">
        <is>
          <t>Buoc 4: Nhap bang Phan_cong; cac cot Ten_mon, Nhom_CT, dinh muc va ten giao vien se tu dong doi chieu.</t>
        </is>
      </c>
      <c r="B22" s="8" t="n"/>
      <c r="C22" s="8" t="n"/>
      <c r="D22" s="8" t="n"/>
      <c r="E22" s="8" t="n"/>
      <c r="F22" s="8" t="n"/>
      <c r="G22" s="8" t="n"/>
      <c r="H22" s="9" t="n"/>
    </row>
    <row r="23">
      <c r="A23" s="6" t="inlineStr">
        <is>
          <t>Buoc 5: Xem Tong_hop_GV de kiem tra qua tai/thieu tai theo giao vien.</t>
        </is>
      </c>
      <c r="B23" s="8" t="n"/>
      <c r="C23" s="8" t="n"/>
      <c r="D23" s="8" t="n"/>
      <c r="E23" s="8" t="n"/>
      <c r="F23" s="8" t="n"/>
      <c r="G23" s="8" t="n"/>
      <c r="H23" s="9" t="n"/>
    </row>
  </sheetData>
  <mergeCells count="12">
    <mergeCell ref="A12:H12"/>
    <mergeCell ref="A21:H21"/>
    <mergeCell ref="A15:H15"/>
    <mergeCell ref="A20:H20"/>
    <mergeCell ref="A2:H2"/>
    <mergeCell ref="A16:H16"/>
    <mergeCell ref="A13:H13"/>
    <mergeCell ref="A14:H14"/>
    <mergeCell ref="A19:H19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84" customWidth="1" min="4" max="4"/>
  </cols>
  <sheetData>
    <row r="1">
      <c r="A1" s="3" t="inlineStr">
        <is>
          <t>Nguon tham khao da dung de thiet ke mau</t>
        </is>
      </c>
    </row>
    <row r="2">
      <c r="A2" s="4" t="inlineStr">
        <is>
          <t>STT</t>
        </is>
      </c>
      <c r="B2" s="4" t="inlineStr">
        <is>
          <t>Nguon / van ban</t>
        </is>
      </c>
      <c r="C2" s="4" t="inlineStr">
        <is>
          <t>Noi dung dung de thiet ke</t>
        </is>
      </c>
      <c r="D2" s="4" t="inlineStr">
        <is>
          <t>Lien ket</t>
        </is>
      </c>
    </row>
    <row r="3">
      <c r="A3" s="5" t="n">
        <v>1</v>
      </c>
      <c r="B3" s="6" t="inlineStr">
        <is>
          <t>Thong tu 32/2018/TT-BGDDT</t>
        </is>
      </c>
      <c r="C3" s="5" t="inlineStr">
        <is>
          <t>Khung Ch??ng tr?nh GDPT 2018, c?u tr?c c?p THPT, 35 tu?n th?c h?c v? logic x?y d?ng k? ho?ch gi?o d?c.</t>
        </is>
      </c>
      <c r="D3" s="7" t="inlineStr">
        <is>
          <t>https://thuvienphapluat.vn/van-ban/Giao-duc/Thong-tu-32-2018-TT-BGDDT-Chuong-trinh-giao-duc-pho-thong-403454.aspx</t>
        </is>
      </c>
    </row>
    <row r="4">
      <c r="A4" s="5" t="n">
        <v>2</v>
      </c>
      <c r="B4" s="6" t="inlineStr">
        <is>
          <t>Thong tu 13/2022/TT-BGDDT</t>
        </is>
      </c>
      <c r="C4" s="5" t="inlineStr">
        <is>
          <t>Dieu chinh CT GDPT 2018, xac nhan Lich su la phan bat buoc o cap THPT va giu co che hoc theo dinh huong.</t>
        </is>
      </c>
      <c r="D4" s="7" t="inlineStr">
        <is>
          <t>https://thuvienphapluat.vn/van-ban/Giao-duc/Thong-tu-13-2022-TT-BGDDT-sua-doi-Thong-tu-32-2018-TT-BGDDT-Chuong-trinh-giao-duc-524666.aspx</t>
        </is>
      </c>
    </row>
    <row r="5">
      <c r="A5" s="5" t="n">
        <v>3</v>
      </c>
      <c r="B5" s="6" t="inlineStr">
        <is>
          <t>Chuong trinh tong the CTGDPT 2018 (MOET)</t>
        </is>
      </c>
      <c r="C5" s="5" t="inlineStr">
        <is>
          <t>Nguon chinh thong de doi chieu khung chuong trinh tong the va ten cac mon/hoat dong giao duc.</t>
        </is>
      </c>
      <c r="D5" s="7" t="inlineStr">
        <is>
          <t>https://moet.gov.vn/content/tintuc/Lists/News/Attachments/8421/chuong-trinh-tong-the-ctgdpt-2018.pdf</t>
        </is>
      </c>
    </row>
    <row r="6">
      <c r="A6" s="5" t="n">
        <v>4</v>
      </c>
      <c r="B6" s="6" t="inlineStr">
        <is>
          <t>Cong van 5512/BGDDT-GDTrH</t>
        </is>
      </c>
      <c r="C6" s="5" t="inlineStr">
        <is>
          <t>Can cu tham khao de to chuc ke hoach giao duc nha truong va su chu dong cua truong trong sap xep ke hoach day hoc.</t>
        </is>
      </c>
      <c r="D6" s="7" t="inlineStr">
        <is>
          <t>https://thuvienphapluat.vn/cong-van/Giao-duc/Cong-van-5512-BGDDT-GDTrH-2020-xay-dung-va-to-chuc-thuc-hien-ke-hoach-giao-duc-cua-nha-truong-462988.aspx</t>
        </is>
      </c>
    </row>
    <row r="7">
      <c r="A7" s="5" t="n">
        <v>5</v>
      </c>
      <c r="B7" s="6" t="inlineStr">
        <is>
          <t>Thong tu 05/2025/TT-BGDDT</t>
        </is>
      </c>
      <c r="C7" s="5" t="inlineStr">
        <is>
          <t>Tham chieu dinh muc tiet/day giao vien THPT de lap sheet tong hop tai giao vien.</t>
        </is>
      </c>
      <c r="D7" s="7" t="inlineStr">
        <is>
          <t>https://congbao.chinhphu.vn/van-ban/thong-tu-so-05-2025-tt-bgddt-44543.htm</t>
        </is>
      </c>
    </row>
    <row r="8">
      <c r="A8" s="5" t="n">
        <v>6</v>
      </c>
      <c r="B8" s="6" t="inlineStr">
        <is>
          <t>Cong khai phan cong giao vien THPT Huynh Thuc Khang 2025-2026</t>
        </is>
      </c>
      <c r="C8" s="5" t="inlineStr">
        <is>
          <t>Tham khao cach cong khai phan cong theo hoc ky, tu do mau bo tri cot GV HK1/GV HK2.</t>
        </is>
      </c>
      <c r="D8" s="7" t="inlineStr">
        <is>
          <t>https://www.ptth-huynhthuckhang-quangnam.edu.vn/Files/files/Nam%20hoc%202025-2026/54_KH-THPTHTK_signed_signed_signed.pdf</t>
        </is>
      </c>
    </row>
    <row r="9">
      <c r="A9" s="5" t="n">
        <v>7</v>
      </c>
      <c r="B9" s="6" t="inlineStr">
        <is>
          <t>Thong tin to hop mon lop 10 - THPT Hoai Duc A / THPT Tam Phu</t>
        </is>
      </c>
      <c r="C9" s="5" t="inlineStr">
        <is>
          <t>Tham khao cach cac truong cong bo to hop 4 mon lua chon va 3 cum chuyen de hoc tap.</t>
        </is>
      </c>
      <c r="D9" s="7" t="inlineStr">
        <is>
          <t>https://thpthoaiduca.hanoi.edu.vn/tuyen-sinh-vao-10-thpt/thong-tin-moi-nhat-ve-chuong-trinh-giao-duc-lop-10-nam-hoc-2025-2026-cua-truong/ctmb/21600/24731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8" customWidth="1" min="4" max="4"/>
    <col width="15" customWidth="1" min="5" max="5"/>
    <col width="16" customWidth="1" min="6" max="6"/>
    <col width="44" customWidth="1" min="7" max="7"/>
  </cols>
  <sheetData>
    <row r="1">
      <c r="A1" s="3" t="inlineStr">
        <is>
          <t>Danh muc mon hoc / hoat dong giao duc cap THPT theo GDPT 2018</t>
        </is>
      </c>
    </row>
    <row r="2">
      <c r="A2" s="4" t="inlineStr">
        <is>
          <t>Ma_mon</t>
        </is>
      </c>
      <c r="B2" s="4" t="inlineStr">
        <is>
          <t>Ten_mon_hoat_dong</t>
        </is>
      </c>
      <c r="C2" s="4" t="inlineStr">
        <is>
          <t>Nhom_CT</t>
        </is>
      </c>
      <c r="D2" s="4" t="inlineStr">
        <is>
          <t>Tinh_chat</t>
        </is>
      </c>
      <c r="E2" s="4" t="inlineStr">
        <is>
          <t>Tiet_nam_chuan</t>
        </is>
      </c>
      <c r="F2" s="4" t="inlineStr">
        <is>
          <t>Co_the_vao_to_hop</t>
        </is>
      </c>
      <c r="G2" s="4" t="inlineStr">
        <is>
          <t>Ghi_chu</t>
        </is>
      </c>
    </row>
    <row r="3">
      <c r="A3" s="5" t="inlineStr">
        <is>
          <t>NV</t>
        </is>
      </c>
      <c r="B3" s="6" t="inlineStr">
        <is>
          <t>Ngu van</t>
        </is>
      </c>
      <c r="C3" s="5" t="inlineStr">
        <is>
          <t>Bat buoc</t>
        </is>
      </c>
      <c r="D3" s="5" t="inlineStr">
        <is>
          <t>Mon hoc</t>
        </is>
      </c>
      <c r="E3" s="5" t="n">
        <v>105</v>
      </c>
      <c r="F3" s="5" t="inlineStr">
        <is>
          <t>Khong</t>
        </is>
      </c>
      <c r="G3" s="5" t="inlineStr">
        <is>
          <t>Bat buoc cho tat ca hoc sinh</t>
        </is>
      </c>
    </row>
    <row r="4">
      <c r="A4" s="5" t="inlineStr">
        <is>
          <t>TOAN</t>
        </is>
      </c>
      <c r="B4" s="6" t="inlineStr">
        <is>
          <t>Toan</t>
        </is>
      </c>
      <c r="C4" s="5" t="inlineStr">
        <is>
          <t>Bat buoc</t>
        </is>
      </c>
      <c r="D4" s="5" t="inlineStr">
        <is>
          <t>Mon hoc</t>
        </is>
      </c>
      <c r="E4" s="5" t="n">
        <v>105</v>
      </c>
      <c r="F4" s="5" t="inlineStr">
        <is>
          <t>Khong</t>
        </is>
      </c>
      <c r="G4" s="5" t="inlineStr">
        <is>
          <t>Bat buoc cho tat ca hoc sinh</t>
        </is>
      </c>
    </row>
    <row r="5">
      <c r="A5" s="5" t="inlineStr">
        <is>
          <t>NN1</t>
        </is>
      </c>
      <c r="B5" s="6" t="inlineStr">
        <is>
          <t>Ngoai ngu 1</t>
        </is>
      </c>
      <c r="C5" s="5" t="inlineStr">
        <is>
          <t>Bat buoc</t>
        </is>
      </c>
      <c r="D5" s="5" t="inlineStr">
        <is>
          <t>Mon hoc</t>
        </is>
      </c>
      <c r="E5" s="5" t="n">
        <v>105</v>
      </c>
      <c r="F5" s="5" t="inlineStr">
        <is>
          <t>Khong</t>
        </is>
      </c>
      <c r="G5" s="5" t="inlineStr">
        <is>
          <t>Tieng Anh/ngoai ngu 1 theo truong</t>
        </is>
      </c>
    </row>
    <row r="6">
      <c r="A6" s="5" t="inlineStr">
        <is>
          <t>LS</t>
        </is>
      </c>
      <c r="B6" s="6" t="inlineStr">
        <is>
          <t>Lich su</t>
        </is>
      </c>
      <c r="C6" s="5" t="inlineStr">
        <is>
          <t>Bat buoc</t>
        </is>
      </c>
      <c r="D6" s="5" t="inlineStr">
        <is>
          <t>Mon hoc</t>
        </is>
      </c>
      <c r="E6" s="5" t="n">
        <v>52</v>
      </c>
      <c r="F6" s="5" t="inlineStr">
        <is>
          <t>Khong</t>
        </is>
      </c>
      <c r="G6" s="5" t="inlineStr">
        <is>
          <t>Phan bat buoc theo dieu chinh 2022</t>
        </is>
      </c>
    </row>
    <row r="7">
      <c r="A7" s="5" t="inlineStr">
        <is>
          <t>GDTC</t>
        </is>
      </c>
      <c r="B7" s="6" t="inlineStr">
        <is>
          <t>Giao duc the chat</t>
        </is>
      </c>
      <c r="C7" s="5" t="inlineStr">
        <is>
          <t>Bat buoc</t>
        </is>
      </c>
      <c r="D7" s="5" t="inlineStr">
        <is>
          <t>Hoat dong giao duc</t>
        </is>
      </c>
      <c r="E7" s="5" t="n">
        <v>70</v>
      </c>
      <c r="F7" s="5" t="inlineStr">
        <is>
          <t>Khong</t>
        </is>
      </c>
      <c r="G7" s="5" t="inlineStr">
        <is>
          <t>Bat buoc</t>
        </is>
      </c>
    </row>
    <row r="8">
      <c r="A8" s="5" t="inlineStr">
        <is>
          <t>GDQPAN</t>
        </is>
      </c>
      <c r="B8" s="6" t="inlineStr">
        <is>
          <t>Giao duc quoc phong va an ninh</t>
        </is>
      </c>
      <c r="C8" s="5" t="inlineStr">
        <is>
          <t>Bat buoc</t>
        </is>
      </c>
      <c r="D8" s="5" t="inlineStr">
        <is>
          <t>Mon hoc</t>
        </is>
      </c>
      <c r="E8" s="5" t="n">
        <v>35</v>
      </c>
      <c r="F8" s="5" t="inlineStr">
        <is>
          <t>Khong</t>
        </is>
      </c>
      <c r="G8" s="5" t="inlineStr">
        <is>
          <t>Bat buoc</t>
        </is>
      </c>
    </row>
    <row r="9">
      <c r="A9" s="5" t="inlineStr">
        <is>
          <t>HDTNHN</t>
        </is>
      </c>
      <c r="B9" s="6" t="inlineStr">
        <is>
          <t>Hoat dong trai nghiem, huong nghiep</t>
        </is>
      </c>
      <c r="C9" s="5" t="inlineStr">
        <is>
          <t>Bat buoc</t>
        </is>
      </c>
      <c r="D9" s="5" t="inlineStr">
        <is>
          <t>Hoat dong giao duc</t>
        </is>
      </c>
      <c r="E9" s="5" t="n">
        <v>105</v>
      </c>
      <c r="F9" s="5" t="inlineStr">
        <is>
          <t>Khong</t>
        </is>
      </c>
      <c r="G9" s="5" t="inlineStr">
        <is>
          <t>Bat buoc</t>
        </is>
      </c>
    </row>
    <row r="10">
      <c r="A10" s="5" t="inlineStr">
        <is>
          <t>GDDP</t>
        </is>
      </c>
      <c r="B10" s="6" t="inlineStr">
        <is>
          <t>Noi dung giao duc cua dia phuong</t>
        </is>
      </c>
      <c r="C10" s="5" t="inlineStr">
        <is>
          <t>Bat buoc</t>
        </is>
      </c>
      <c r="D10" s="5" t="inlineStr">
        <is>
          <t>Noi dung giao duc</t>
        </is>
      </c>
      <c r="E10" s="5" t="n">
        <v>35</v>
      </c>
      <c r="F10" s="5" t="inlineStr">
        <is>
          <t>Khong</t>
        </is>
      </c>
      <c r="G10" s="5" t="inlineStr">
        <is>
          <t>Bat buoc</t>
        </is>
      </c>
    </row>
    <row r="11">
      <c r="A11" s="5" t="inlineStr">
        <is>
          <t>DL</t>
        </is>
      </c>
      <c r="B11" s="6" t="inlineStr">
        <is>
          <t>Dia li</t>
        </is>
      </c>
      <c r="C11" s="5" t="inlineStr">
        <is>
          <t>Lua chon</t>
        </is>
      </c>
      <c r="D11" s="5" t="inlineStr">
        <is>
          <t>Mon hoc</t>
        </is>
      </c>
      <c r="E11" s="5" t="n">
        <v>70</v>
      </c>
      <c r="F11" s="5" t="inlineStr">
        <is>
          <t>Co</t>
        </is>
      </c>
      <c r="G11" s="5" t="inlineStr">
        <is>
          <t>Hoc sinh chon 4 mon lua chon</t>
        </is>
      </c>
    </row>
    <row r="12">
      <c r="A12" s="5" t="inlineStr">
        <is>
          <t>GDKTPL</t>
        </is>
      </c>
      <c r="B12" s="6" t="inlineStr">
        <is>
          <t>Giao duc kinh te va phap luat</t>
        </is>
      </c>
      <c r="C12" s="5" t="inlineStr">
        <is>
          <t>Lua chon</t>
        </is>
      </c>
      <c r="D12" s="5" t="inlineStr">
        <is>
          <t>Mon hoc</t>
        </is>
      </c>
      <c r="E12" s="5" t="n">
        <v>70</v>
      </c>
      <c r="F12" s="5" t="inlineStr">
        <is>
          <t>Co</t>
        </is>
      </c>
      <c r="G12" s="5" t="inlineStr">
        <is>
          <t>Hoc sinh chon 4 mon lua chon</t>
        </is>
      </c>
    </row>
    <row r="13">
      <c r="A13" s="5" t="inlineStr">
        <is>
          <t>VL</t>
        </is>
      </c>
      <c r="B13" s="6" t="inlineStr">
        <is>
          <t>Vat li</t>
        </is>
      </c>
      <c r="C13" s="5" t="inlineStr">
        <is>
          <t>Lua chon</t>
        </is>
      </c>
      <c r="D13" s="5" t="inlineStr">
        <is>
          <t>Mon hoc</t>
        </is>
      </c>
      <c r="E13" s="5" t="n">
        <v>70</v>
      </c>
      <c r="F13" s="5" t="inlineStr">
        <is>
          <t>Co</t>
        </is>
      </c>
      <c r="G13" s="5" t="inlineStr">
        <is>
          <t>Hoc sinh chon 4 mon lua chon</t>
        </is>
      </c>
    </row>
    <row r="14">
      <c r="A14" s="5" t="inlineStr">
        <is>
          <t>HH</t>
        </is>
      </c>
      <c r="B14" s="6" t="inlineStr">
        <is>
          <t>Hoa hoc</t>
        </is>
      </c>
      <c r="C14" s="5" t="inlineStr">
        <is>
          <t>Lua chon</t>
        </is>
      </c>
      <c r="D14" s="5" t="inlineStr">
        <is>
          <t>Mon hoc</t>
        </is>
      </c>
      <c r="E14" s="5" t="n">
        <v>70</v>
      </c>
      <c r="F14" s="5" t="inlineStr">
        <is>
          <t>Co</t>
        </is>
      </c>
      <c r="G14" s="5" t="inlineStr">
        <is>
          <t>Hoc sinh chon 4 mon lua chon</t>
        </is>
      </c>
    </row>
    <row r="15">
      <c r="A15" s="5" t="inlineStr">
        <is>
          <t>SH</t>
        </is>
      </c>
      <c r="B15" s="6" t="inlineStr">
        <is>
          <t>Sinh hoc</t>
        </is>
      </c>
      <c r="C15" s="5" t="inlineStr">
        <is>
          <t>Lua chon</t>
        </is>
      </c>
      <c r="D15" s="5" t="inlineStr">
        <is>
          <t>Mon hoc</t>
        </is>
      </c>
      <c r="E15" s="5" t="n">
        <v>70</v>
      </c>
      <c r="F15" s="5" t="inlineStr">
        <is>
          <t>Co</t>
        </is>
      </c>
      <c r="G15" s="5" t="inlineStr">
        <is>
          <t>Hoc sinh chon 4 mon lua chon</t>
        </is>
      </c>
    </row>
    <row r="16">
      <c r="A16" s="5" t="inlineStr">
        <is>
          <t>CN</t>
        </is>
      </c>
      <c r="B16" s="6" t="inlineStr">
        <is>
          <t>Cong nghe</t>
        </is>
      </c>
      <c r="C16" s="5" t="inlineStr">
        <is>
          <t>Lua chon</t>
        </is>
      </c>
      <c r="D16" s="5" t="inlineStr">
        <is>
          <t>Mon hoc</t>
        </is>
      </c>
      <c r="E16" s="5" t="n">
        <v>70</v>
      </c>
      <c r="F16" s="5" t="inlineStr">
        <is>
          <t>Co</t>
        </is>
      </c>
      <c r="G16" s="5" t="inlineStr">
        <is>
          <t>Ghi ro dinh huong CN/NN neu truong tach</t>
        </is>
      </c>
    </row>
    <row r="17">
      <c r="A17" s="5" t="inlineStr">
        <is>
          <t>TH</t>
        </is>
      </c>
      <c r="B17" s="6" t="inlineStr">
        <is>
          <t>Tin hoc</t>
        </is>
      </c>
      <c r="C17" s="5" t="inlineStr">
        <is>
          <t>Lua chon</t>
        </is>
      </c>
      <c r="D17" s="5" t="inlineStr">
        <is>
          <t>Mon hoc</t>
        </is>
      </c>
      <c r="E17" s="5" t="n">
        <v>70</v>
      </c>
      <c r="F17" s="5" t="inlineStr">
        <is>
          <t>Co</t>
        </is>
      </c>
      <c r="G17" s="5" t="inlineStr">
        <is>
          <t>Hoc sinh chon 4 mon lua chon</t>
        </is>
      </c>
    </row>
    <row r="18">
      <c r="A18" s="5" t="inlineStr">
        <is>
          <t>AN</t>
        </is>
      </c>
      <c r="B18" s="6" t="inlineStr">
        <is>
          <t>Am nhac</t>
        </is>
      </c>
      <c r="C18" s="5" t="inlineStr">
        <is>
          <t>Lua chon</t>
        </is>
      </c>
      <c r="D18" s="5" t="inlineStr">
        <is>
          <t>Mon hoc</t>
        </is>
      </c>
      <c r="E18" s="5" t="n">
        <v>70</v>
      </c>
      <c r="F18" s="5" t="inlineStr">
        <is>
          <t>Co</t>
        </is>
      </c>
      <c r="G18" s="5" t="inlineStr">
        <is>
          <t>Hoc sinh chon 4 mon lua chon</t>
        </is>
      </c>
    </row>
    <row r="19">
      <c r="A19" s="5" t="inlineStr">
        <is>
          <t>MT</t>
        </is>
      </c>
      <c r="B19" s="6" t="inlineStr">
        <is>
          <t>Mi thuat</t>
        </is>
      </c>
      <c r="C19" s="5" t="inlineStr">
        <is>
          <t>Lua chon</t>
        </is>
      </c>
      <c r="D19" s="5" t="inlineStr">
        <is>
          <t>Mon hoc</t>
        </is>
      </c>
      <c r="E19" s="5" t="n">
        <v>70</v>
      </c>
      <c r="F19" s="5" t="inlineStr">
        <is>
          <t>Co</t>
        </is>
      </c>
      <c r="G19" s="5" t="inlineStr">
        <is>
          <t>Hoc sinh chon 4 mon lua chon</t>
        </is>
      </c>
    </row>
    <row r="20">
      <c r="A20" s="5" t="inlineStr">
        <is>
          <t>CDHT</t>
        </is>
      </c>
      <c r="B20" s="6" t="inlineStr">
        <is>
          <t>Cum chuyen de hoc tap</t>
        </is>
      </c>
      <c r="C20" s="5" t="inlineStr">
        <is>
          <t>Bo sung</t>
        </is>
      </c>
      <c r="D20" s="5" t="inlineStr">
        <is>
          <t>Cum chuyen de</t>
        </is>
      </c>
      <c r="E20" s="5" t="n">
        <v>105</v>
      </c>
      <c r="F20" s="5" t="inlineStr">
        <is>
          <t>Theo to hop</t>
        </is>
      </c>
      <c r="G20" s="5" t="inlineStr">
        <is>
          <t>3 cum chuyen de, moi cum 35 tiet/nam hoc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14" customWidth="1" min="5" max="5"/>
    <col width="14" customWidth="1" min="6" max="6"/>
    <col width="14" customWidth="1" min="7" max="7"/>
    <col width="16" customWidth="1" min="8" max="8"/>
    <col width="30" customWidth="1" min="9" max="9"/>
  </cols>
  <sheetData>
    <row r="1">
      <c r="A1" s="3" t="inlineStr">
        <is>
          <t>Danh muc giao vien</t>
        </is>
      </c>
    </row>
    <row r="2">
      <c r="A2" s="4" t="inlineStr">
        <is>
          <t>Ma_GV</t>
        </is>
      </c>
      <c r="B2" s="4" t="inlineStr">
        <is>
          <t>Ho_ten</t>
        </is>
      </c>
      <c r="C2" s="4" t="inlineStr">
        <is>
          <t>To_CM</t>
        </is>
      </c>
      <c r="D2" s="4" t="inlineStr">
        <is>
          <t>Mon_chuyen_mon_chinh</t>
        </is>
      </c>
      <c r="E2" s="4" t="inlineStr">
        <is>
          <t>Trang_thai</t>
        </is>
      </c>
      <c r="F2" s="4" t="inlineStr">
        <is>
          <t>Dinh_muc_tuan</t>
        </is>
      </c>
      <c r="G2" s="4" t="inlineStr">
        <is>
          <t>Giam_tru_tuan</t>
        </is>
      </c>
      <c r="H2" s="4" t="inlineStr">
        <is>
          <t>Dinh_muc_hieu_luc</t>
        </is>
      </c>
      <c r="I2" s="4" t="inlineStr">
        <is>
          <t>Ghi_chu</t>
        </is>
      </c>
    </row>
    <row r="3">
      <c r="A3" s="5" t="n"/>
      <c r="B3" s="6" t="n"/>
      <c r="C3" s="5" t="n"/>
      <c r="D3" s="5" t="n"/>
      <c r="E3" s="5" t="n"/>
      <c r="F3" s="5">
        <f>IF(A3="","",Huong_dan!$B$10)</f>
        <v/>
      </c>
      <c r="G3" s="5">
        <f>IF(A3="","",0)</f>
        <v/>
      </c>
      <c r="H3" s="5">
        <f>IF(A3="","",F3-G3)</f>
        <v/>
      </c>
      <c r="I3" s="5" t="n"/>
    </row>
    <row r="4">
      <c r="A4" s="5" t="n"/>
      <c r="B4" s="6" t="n"/>
      <c r="C4" s="5" t="n"/>
      <c r="D4" s="5" t="n"/>
      <c r="E4" s="5" t="n"/>
      <c r="F4" s="5">
        <f>IF(A4="","",Huong_dan!$B$10)</f>
        <v/>
      </c>
      <c r="G4" s="5">
        <f>IF(A4="","",0)</f>
        <v/>
      </c>
      <c r="H4" s="5">
        <f>IF(A4="","",F4-G4)</f>
        <v/>
      </c>
      <c r="I4" s="5" t="n"/>
    </row>
    <row r="5">
      <c r="A5" s="5" t="n"/>
      <c r="B5" s="6" t="n"/>
      <c r="C5" s="5" t="n"/>
      <c r="D5" s="5" t="n"/>
      <c r="E5" s="5" t="n"/>
      <c r="F5" s="5">
        <f>IF(A5="","",Huong_dan!$B$10)</f>
        <v/>
      </c>
      <c r="G5" s="5">
        <f>IF(A5="","",0)</f>
        <v/>
      </c>
      <c r="H5" s="5">
        <f>IF(A5="","",F5-G5)</f>
        <v/>
      </c>
      <c r="I5" s="5" t="n"/>
    </row>
    <row r="6">
      <c r="A6" s="5" t="n"/>
      <c r="B6" s="6" t="n"/>
      <c r="C6" s="5" t="n"/>
      <c r="D6" s="5" t="n"/>
      <c r="E6" s="5" t="n"/>
      <c r="F6" s="5">
        <f>IF(A6="","",Huong_dan!$B$10)</f>
        <v/>
      </c>
      <c r="G6" s="5">
        <f>IF(A6="","",0)</f>
        <v/>
      </c>
      <c r="H6" s="5">
        <f>IF(A6="","",F6-G6)</f>
        <v/>
      </c>
      <c r="I6" s="5" t="n"/>
    </row>
    <row r="7">
      <c r="A7" s="5" t="n"/>
      <c r="B7" s="6" t="n"/>
      <c r="C7" s="5" t="n"/>
      <c r="D7" s="5" t="n"/>
      <c r="E7" s="5" t="n"/>
      <c r="F7" s="5">
        <f>IF(A7="","",Huong_dan!$B$10)</f>
        <v/>
      </c>
      <c r="G7" s="5">
        <f>IF(A7="","",0)</f>
        <v/>
      </c>
      <c r="H7" s="5">
        <f>IF(A7="","",F7-G7)</f>
        <v/>
      </c>
      <c r="I7" s="5" t="n"/>
    </row>
    <row r="8">
      <c r="A8" s="5" t="n"/>
      <c r="B8" s="6" t="n"/>
      <c r="C8" s="5" t="n"/>
      <c r="D8" s="5" t="n"/>
      <c r="E8" s="5" t="n"/>
      <c r="F8" s="5">
        <f>IF(A8="","",Huong_dan!$B$10)</f>
        <v/>
      </c>
      <c r="G8" s="5">
        <f>IF(A8="","",0)</f>
        <v/>
      </c>
      <c r="H8" s="5">
        <f>IF(A8="","",F8-G8)</f>
        <v/>
      </c>
      <c r="I8" s="5" t="n"/>
    </row>
    <row r="9">
      <c r="A9" s="5" t="n"/>
      <c r="B9" s="6" t="n"/>
      <c r="C9" s="5" t="n"/>
      <c r="D9" s="5" t="n"/>
      <c r="E9" s="5" t="n"/>
      <c r="F9" s="5">
        <f>IF(A9="","",Huong_dan!$B$10)</f>
        <v/>
      </c>
      <c r="G9" s="5">
        <f>IF(A9="","",0)</f>
        <v/>
      </c>
      <c r="H9" s="5">
        <f>IF(A9="","",F9-G9)</f>
        <v/>
      </c>
      <c r="I9" s="5" t="n"/>
    </row>
    <row r="10">
      <c r="A10" s="5" t="n"/>
      <c r="B10" s="6" t="n"/>
      <c r="C10" s="5" t="n"/>
      <c r="D10" s="5" t="n"/>
      <c r="E10" s="5" t="n"/>
      <c r="F10" s="5">
        <f>IF(A10="","",Huong_dan!$B$10)</f>
        <v/>
      </c>
      <c r="G10" s="5">
        <f>IF(A10="","",0)</f>
        <v/>
      </c>
      <c r="H10" s="5">
        <f>IF(A10="","",F10-G10)</f>
        <v/>
      </c>
      <c r="I10" s="5" t="n"/>
    </row>
    <row r="11">
      <c r="A11" s="5" t="n"/>
      <c r="B11" s="6" t="n"/>
      <c r="C11" s="5" t="n"/>
      <c r="D11" s="5" t="n"/>
      <c r="E11" s="5" t="n"/>
      <c r="F11" s="5">
        <f>IF(A11="","",Huong_dan!$B$10)</f>
        <v/>
      </c>
      <c r="G11" s="5">
        <f>IF(A11="","",0)</f>
        <v/>
      </c>
      <c r="H11" s="5">
        <f>IF(A11="","",F11-G11)</f>
        <v/>
      </c>
      <c r="I11" s="5" t="n"/>
    </row>
    <row r="12">
      <c r="A12" s="5" t="n"/>
      <c r="B12" s="6" t="n"/>
      <c r="C12" s="5" t="n"/>
      <c r="D12" s="5" t="n"/>
      <c r="E12" s="5" t="n"/>
      <c r="F12" s="5">
        <f>IF(A12="","",Huong_dan!$B$10)</f>
        <v/>
      </c>
      <c r="G12" s="5">
        <f>IF(A12="","",0)</f>
        <v/>
      </c>
      <c r="H12" s="5">
        <f>IF(A12="","",F12-G12)</f>
        <v/>
      </c>
      <c r="I12" s="5" t="n"/>
    </row>
    <row r="13">
      <c r="A13" s="5" t="n"/>
      <c r="B13" s="6" t="n"/>
      <c r="C13" s="5" t="n"/>
      <c r="D13" s="5" t="n"/>
      <c r="E13" s="5" t="n"/>
      <c r="F13" s="5">
        <f>IF(A13="","",Huong_dan!$B$10)</f>
        <v/>
      </c>
      <c r="G13" s="5">
        <f>IF(A13="","",0)</f>
        <v/>
      </c>
      <c r="H13" s="5">
        <f>IF(A13="","",F13-G13)</f>
        <v/>
      </c>
      <c r="I13" s="5" t="n"/>
    </row>
    <row r="14">
      <c r="A14" s="5" t="n"/>
      <c r="B14" s="6" t="n"/>
      <c r="C14" s="5" t="n"/>
      <c r="D14" s="5" t="n"/>
      <c r="E14" s="5" t="n"/>
      <c r="F14" s="5">
        <f>IF(A14="","",Huong_dan!$B$10)</f>
        <v/>
      </c>
      <c r="G14" s="5">
        <f>IF(A14="","",0)</f>
        <v/>
      </c>
      <c r="H14" s="5">
        <f>IF(A14="","",F14-G14)</f>
        <v/>
      </c>
      <c r="I14" s="5" t="n"/>
    </row>
    <row r="15">
      <c r="A15" s="5" t="n"/>
      <c r="B15" s="6" t="n"/>
      <c r="C15" s="5" t="n"/>
      <c r="D15" s="5" t="n"/>
      <c r="E15" s="5" t="n"/>
      <c r="F15" s="5">
        <f>IF(A15="","",Huong_dan!$B$10)</f>
        <v/>
      </c>
      <c r="G15" s="5">
        <f>IF(A15="","",0)</f>
        <v/>
      </c>
      <c r="H15" s="5">
        <f>IF(A15="","",F15-G15)</f>
        <v/>
      </c>
      <c r="I15" s="5" t="n"/>
    </row>
    <row r="16">
      <c r="A16" s="5" t="n"/>
      <c r="B16" s="6" t="n"/>
      <c r="C16" s="5" t="n"/>
      <c r="D16" s="5" t="n"/>
      <c r="E16" s="5" t="n"/>
      <c r="F16" s="5">
        <f>IF(A16="","",Huong_dan!$B$10)</f>
        <v/>
      </c>
      <c r="G16" s="5">
        <f>IF(A16="","",0)</f>
        <v/>
      </c>
      <c r="H16" s="5">
        <f>IF(A16="","",F16-G16)</f>
        <v/>
      </c>
      <c r="I16" s="5" t="n"/>
    </row>
    <row r="17">
      <c r="A17" s="5" t="n"/>
      <c r="B17" s="6" t="n"/>
      <c r="C17" s="5" t="n"/>
      <c r="D17" s="5" t="n"/>
      <c r="E17" s="5" t="n"/>
      <c r="F17" s="5">
        <f>IF(A17="","",Huong_dan!$B$10)</f>
        <v/>
      </c>
      <c r="G17" s="5">
        <f>IF(A17="","",0)</f>
        <v/>
      </c>
      <c r="H17" s="5">
        <f>IF(A17="","",F17-G17)</f>
        <v/>
      </c>
      <c r="I17" s="5" t="n"/>
    </row>
    <row r="18">
      <c r="A18" s="5" t="n"/>
      <c r="B18" s="6" t="n"/>
      <c r="C18" s="5" t="n"/>
      <c r="D18" s="5" t="n"/>
      <c r="E18" s="5" t="n"/>
      <c r="F18" s="5">
        <f>IF(A18="","",Huong_dan!$B$10)</f>
        <v/>
      </c>
      <c r="G18" s="5">
        <f>IF(A18="","",0)</f>
        <v/>
      </c>
      <c r="H18" s="5">
        <f>IF(A18="","",F18-G18)</f>
        <v/>
      </c>
      <c r="I18" s="5" t="n"/>
    </row>
    <row r="19">
      <c r="A19" s="5" t="n"/>
      <c r="B19" s="6" t="n"/>
      <c r="C19" s="5" t="n"/>
      <c r="D19" s="5" t="n"/>
      <c r="E19" s="5" t="n"/>
      <c r="F19" s="5">
        <f>IF(A19="","",Huong_dan!$B$10)</f>
        <v/>
      </c>
      <c r="G19" s="5">
        <f>IF(A19="","",0)</f>
        <v/>
      </c>
      <c r="H19" s="5">
        <f>IF(A19="","",F19-G19)</f>
        <v/>
      </c>
      <c r="I19" s="5" t="n"/>
    </row>
    <row r="20">
      <c r="A20" s="5" t="n"/>
      <c r="B20" s="6" t="n"/>
      <c r="C20" s="5" t="n"/>
      <c r="D20" s="5" t="n"/>
      <c r="E20" s="5" t="n"/>
      <c r="F20" s="5">
        <f>IF(A20="","",Huong_dan!$B$10)</f>
        <v/>
      </c>
      <c r="G20" s="5">
        <f>IF(A20="","",0)</f>
        <v/>
      </c>
      <c r="H20" s="5">
        <f>IF(A20="","",F20-G20)</f>
        <v/>
      </c>
      <c r="I20" s="5" t="n"/>
    </row>
    <row r="21">
      <c r="A21" s="5" t="n"/>
      <c r="B21" s="6" t="n"/>
      <c r="C21" s="5" t="n"/>
      <c r="D21" s="5" t="n"/>
      <c r="E21" s="5" t="n"/>
      <c r="F21" s="5">
        <f>IF(A21="","",Huong_dan!$B$10)</f>
        <v/>
      </c>
      <c r="G21" s="5">
        <f>IF(A21="","",0)</f>
        <v/>
      </c>
      <c r="H21" s="5">
        <f>IF(A21="","",F21-G21)</f>
        <v/>
      </c>
      <c r="I21" s="5" t="n"/>
    </row>
    <row r="22">
      <c r="A22" s="5" t="n"/>
      <c r="B22" s="6" t="n"/>
      <c r="C22" s="5" t="n"/>
      <c r="D22" s="5" t="n"/>
      <c r="E22" s="5" t="n"/>
      <c r="F22" s="5">
        <f>IF(A22="","",Huong_dan!$B$10)</f>
        <v/>
      </c>
      <c r="G22" s="5">
        <f>IF(A22="","",0)</f>
        <v/>
      </c>
      <c r="H22" s="5">
        <f>IF(A22="","",F22-G22)</f>
        <v/>
      </c>
      <c r="I22" s="5" t="n"/>
    </row>
    <row r="23">
      <c r="A23" s="5" t="n"/>
      <c r="B23" s="6" t="n"/>
      <c r="C23" s="5" t="n"/>
      <c r="D23" s="5" t="n"/>
      <c r="E23" s="5" t="n"/>
      <c r="F23" s="5">
        <f>IF(A23="","",Huong_dan!$B$10)</f>
        <v/>
      </c>
      <c r="G23" s="5">
        <f>IF(A23="","",0)</f>
        <v/>
      </c>
      <c r="H23" s="5">
        <f>IF(A23="","",F23-G23)</f>
        <v/>
      </c>
      <c r="I23" s="5" t="n"/>
    </row>
    <row r="24">
      <c r="A24" s="5" t="n"/>
      <c r="B24" s="6" t="n"/>
      <c r="C24" s="5" t="n"/>
      <c r="D24" s="5" t="n"/>
      <c r="E24" s="5" t="n"/>
      <c r="F24" s="5">
        <f>IF(A24="","",Huong_dan!$B$10)</f>
        <v/>
      </c>
      <c r="G24" s="5">
        <f>IF(A24="","",0)</f>
        <v/>
      </c>
      <c r="H24" s="5">
        <f>IF(A24="","",F24-G24)</f>
        <v/>
      </c>
      <c r="I24" s="5" t="n"/>
    </row>
    <row r="25">
      <c r="A25" s="5" t="n"/>
      <c r="B25" s="6" t="n"/>
      <c r="C25" s="5" t="n"/>
      <c r="D25" s="5" t="n"/>
      <c r="E25" s="5" t="n"/>
      <c r="F25" s="5">
        <f>IF(A25="","",Huong_dan!$B$10)</f>
        <v/>
      </c>
      <c r="G25" s="5">
        <f>IF(A25="","",0)</f>
        <v/>
      </c>
      <c r="H25" s="5">
        <f>IF(A25="","",F25-G25)</f>
        <v/>
      </c>
      <c r="I25" s="5" t="n"/>
    </row>
    <row r="26">
      <c r="A26" s="5" t="n"/>
      <c r="B26" s="6" t="n"/>
      <c r="C26" s="5" t="n"/>
      <c r="D26" s="5" t="n"/>
      <c r="E26" s="5" t="n"/>
      <c r="F26" s="5">
        <f>IF(A26="","",Huong_dan!$B$10)</f>
        <v/>
      </c>
      <c r="G26" s="5">
        <f>IF(A26="","",0)</f>
        <v/>
      </c>
      <c r="H26" s="5">
        <f>IF(A26="","",F26-G26)</f>
        <v/>
      </c>
      <c r="I26" s="5" t="n"/>
    </row>
    <row r="27">
      <c r="A27" s="5" t="n"/>
      <c r="B27" s="6" t="n"/>
      <c r="C27" s="5" t="n"/>
      <c r="D27" s="5" t="n"/>
      <c r="E27" s="5" t="n"/>
      <c r="F27" s="5">
        <f>IF(A27="","",Huong_dan!$B$10)</f>
        <v/>
      </c>
      <c r="G27" s="5">
        <f>IF(A27="","",0)</f>
        <v/>
      </c>
      <c r="H27" s="5">
        <f>IF(A27="","",F27-G27)</f>
        <v/>
      </c>
      <c r="I27" s="5" t="n"/>
    </row>
    <row r="28">
      <c r="A28" s="5" t="n"/>
      <c r="B28" s="6" t="n"/>
      <c r="C28" s="5" t="n"/>
      <c r="D28" s="5" t="n"/>
      <c r="E28" s="5" t="n"/>
      <c r="F28" s="5">
        <f>IF(A28="","",Huong_dan!$B$10)</f>
        <v/>
      </c>
      <c r="G28" s="5">
        <f>IF(A28="","",0)</f>
        <v/>
      </c>
      <c r="H28" s="5">
        <f>IF(A28="","",F28-G28)</f>
        <v/>
      </c>
      <c r="I28" s="5" t="n"/>
    </row>
    <row r="29">
      <c r="A29" s="5" t="n"/>
      <c r="B29" s="6" t="n"/>
      <c r="C29" s="5" t="n"/>
      <c r="D29" s="5" t="n"/>
      <c r="E29" s="5" t="n"/>
      <c r="F29" s="5">
        <f>IF(A29="","",Huong_dan!$B$10)</f>
        <v/>
      </c>
      <c r="G29" s="5">
        <f>IF(A29="","",0)</f>
        <v/>
      </c>
      <c r="H29" s="5">
        <f>IF(A29="","",F29-G29)</f>
        <v/>
      </c>
      <c r="I29" s="5" t="n"/>
    </row>
    <row r="30">
      <c r="A30" s="5" t="n"/>
      <c r="B30" s="6" t="n"/>
      <c r="C30" s="5" t="n"/>
      <c r="D30" s="5" t="n"/>
      <c r="E30" s="5" t="n"/>
      <c r="F30" s="5">
        <f>IF(A30="","",Huong_dan!$B$10)</f>
        <v/>
      </c>
      <c r="G30" s="5">
        <f>IF(A30="","",0)</f>
        <v/>
      </c>
      <c r="H30" s="5">
        <f>IF(A30="","",F30-G30)</f>
        <v/>
      </c>
      <c r="I30" s="5" t="n"/>
    </row>
    <row r="31">
      <c r="A31" s="5" t="n"/>
      <c r="B31" s="6" t="n"/>
      <c r="C31" s="5" t="n"/>
      <c r="D31" s="5" t="n"/>
      <c r="E31" s="5" t="n"/>
      <c r="F31" s="5">
        <f>IF(A31="","",Huong_dan!$B$10)</f>
        <v/>
      </c>
      <c r="G31" s="5">
        <f>IF(A31="","",0)</f>
        <v/>
      </c>
      <c r="H31" s="5">
        <f>IF(A31="","",F31-G31)</f>
        <v/>
      </c>
      <c r="I31" s="5" t="n"/>
    </row>
    <row r="32">
      <c r="A32" s="5" t="n"/>
      <c r="B32" s="6" t="n"/>
      <c r="C32" s="5" t="n"/>
      <c r="D32" s="5" t="n"/>
      <c r="E32" s="5" t="n"/>
      <c r="F32" s="5">
        <f>IF(A32="","",Huong_dan!$B$10)</f>
        <v/>
      </c>
      <c r="G32" s="5">
        <f>IF(A32="","",0)</f>
        <v/>
      </c>
      <c r="H32" s="5">
        <f>IF(A32="","",F32-G32)</f>
        <v/>
      </c>
      <c r="I32" s="5" t="n"/>
    </row>
    <row r="33">
      <c r="A33" s="5" t="n"/>
      <c r="B33" s="6" t="n"/>
      <c r="C33" s="5" t="n"/>
      <c r="D33" s="5" t="n"/>
      <c r="E33" s="5" t="n"/>
      <c r="F33" s="5">
        <f>IF(A33="","",Huong_dan!$B$10)</f>
        <v/>
      </c>
      <c r="G33" s="5">
        <f>IF(A33="","",0)</f>
        <v/>
      </c>
      <c r="H33" s="5">
        <f>IF(A33="","",F33-G33)</f>
        <v/>
      </c>
      <c r="I33" s="5" t="n"/>
    </row>
    <row r="34">
      <c r="A34" s="5" t="n"/>
      <c r="B34" s="6" t="n"/>
      <c r="C34" s="5" t="n"/>
      <c r="D34" s="5" t="n"/>
      <c r="E34" s="5" t="n"/>
      <c r="F34" s="5">
        <f>IF(A34="","",Huong_dan!$B$10)</f>
        <v/>
      </c>
      <c r="G34" s="5">
        <f>IF(A34="","",0)</f>
        <v/>
      </c>
      <c r="H34" s="5">
        <f>IF(A34="","",F34-G34)</f>
        <v/>
      </c>
      <c r="I34" s="5" t="n"/>
    </row>
    <row r="35">
      <c r="A35" s="5" t="n"/>
      <c r="B35" s="6" t="n"/>
      <c r="C35" s="5" t="n"/>
      <c r="D35" s="5" t="n"/>
      <c r="E35" s="5" t="n"/>
      <c r="F35" s="5">
        <f>IF(A35="","",Huong_dan!$B$10)</f>
        <v/>
      </c>
      <c r="G35" s="5">
        <f>IF(A35="","",0)</f>
        <v/>
      </c>
      <c r="H35" s="5">
        <f>IF(A35="","",F35-G35)</f>
        <v/>
      </c>
      <c r="I35" s="5" t="n"/>
    </row>
    <row r="36">
      <c r="A36" s="5" t="n"/>
      <c r="B36" s="6" t="n"/>
      <c r="C36" s="5" t="n"/>
      <c r="D36" s="5" t="n"/>
      <c r="E36" s="5" t="n"/>
      <c r="F36" s="5">
        <f>IF(A36="","",Huong_dan!$B$10)</f>
        <v/>
      </c>
      <c r="G36" s="5">
        <f>IF(A36="","",0)</f>
        <v/>
      </c>
      <c r="H36" s="5">
        <f>IF(A36="","",F36-G36)</f>
        <v/>
      </c>
      <c r="I36" s="5" t="n"/>
    </row>
    <row r="37">
      <c r="A37" s="5" t="n"/>
      <c r="B37" s="6" t="n"/>
      <c r="C37" s="5" t="n"/>
      <c r="D37" s="5" t="n"/>
      <c r="E37" s="5" t="n"/>
      <c r="F37" s="5">
        <f>IF(A37="","",Huong_dan!$B$10)</f>
        <v/>
      </c>
      <c r="G37" s="5">
        <f>IF(A37="","",0)</f>
        <v/>
      </c>
      <c r="H37" s="5">
        <f>IF(A37="","",F37-G37)</f>
        <v/>
      </c>
      <c r="I37" s="5" t="n"/>
    </row>
    <row r="38">
      <c r="A38" s="5" t="n"/>
      <c r="B38" s="6" t="n"/>
      <c r="C38" s="5" t="n"/>
      <c r="D38" s="5" t="n"/>
      <c r="E38" s="5" t="n"/>
      <c r="F38" s="5">
        <f>IF(A38="","",Huong_dan!$B$10)</f>
        <v/>
      </c>
      <c r="G38" s="5">
        <f>IF(A38="","",0)</f>
        <v/>
      </c>
      <c r="H38" s="5">
        <f>IF(A38="","",F38-G38)</f>
        <v/>
      </c>
      <c r="I38" s="5" t="n"/>
    </row>
    <row r="39">
      <c r="A39" s="5" t="n"/>
      <c r="B39" s="6" t="n"/>
      <c r="C39" s="5" t="n"/>
      <c r="D39" s="5" t="n"/>
      <c r="E39" s="5" t="n"/>
      <c r="F39" s="5">
        <f>IF(A39="","",Huong_dan!$B$10)</f>
        <v/>
      </c>
      <c r="G39" s="5">
        <f>IF(A39="","",0)</f>
        <v/>
      </c>
      <c r="H39" s="5">
        <f>IF(A39="","",F39-G39)</f>
        <v/>
      </c>
      <c r="I39" s="5" t="n"/>
    </row>
    <row r="40">
      <c r="A40" s="5" t="n"/>
      <c r="B40" s="6" t="n"/>
      <c r="C40" s="5" t="n"/>
      <c r="D40" s="5" t="n"/>
      <c r="E40" s="5" t="n"/>
      <c r="F40" s="5">
        <f>IF(A40="","",Huong_dan!$B$10)</f>
        <v/>
      </c>
      <c r="G40" s="5">
        <f>IF(A40="","",0)</f>
        <v/>
      </c>
      <c r="H40" s="5">
        <f>IF(A40="","",F40-G40)</f>
        <v/>
      </c>
      <c r="I40" s="5" t="n"/>
    </row>
    <row r="41">
      <c r="A41" s="5" t="n"/>
      <c r="B41" s="6" t="n"/>
      <c r="C41" s="5" t="n"/>
      <c r="D41" s="5" t="n"/>
      <c r="E41" s="5" t="n"/>
      <c r="F41" s="5">
        <f>IF(A41="","",Huong_dan!$B$10)</f>
        <v/>
      </c>
      <c r="G41" s="5">
        <f>IF(A41="","",0)</f>
        <v/>
      </c>
      <c r="H41" s="5">
        <f>IF(A41="","",F41-G41)</f>
        <v/>
      </c>
      <c r="I41" s="5" t="n"/>
    </row>
    <row r="42">
      <c r="A42" s="5" t="n"/>
      <c r="B42" s="6" t="n"/>
      <c r="C42" s="5" t="n"/>
      <c r="D42" s="5" t="n"/>
      <c r="E42" s="5" t="n"/>
      <c r="F42" s="5">
        <f>IF(A42="","",Huong_dan!$B$10)</f>
        <v/>
      </c>
      <c r="G42" s="5">
        <f>IF(A42="","",0)</f>
        <v/>
      </c>
      <c r="H42" s="5">
        <f>IF(A42="","",F42-G42)</f>
        <v/>
      </c>
      <c r="I42" s="5" t="n"/>
    </row>
    <row r="43">
      <c r="A43" s="5" t="n"/>
      <c r="B43" s="6" t="n"/>
      <c r="C43" s="5" t="n"/>
      <c r="D43" s="5" t="n"/>
      <c r="E43" s="5" t="n"/>
      <c r="F43" s="5">
        <f>IF(A43="","",Huong_dan!$B$10)</f>
        <v/>
      </c>
      <c r="G43" s="5">
        <f>IF(A43="","",0)</f>
        <v/>
      </c>
      <c r="H43" s="5">
        <f>IF(A43="","",F43-G43)</f>
        <v/>
      </c>
      <c r="I43" s="5" t="n"/>
    </row>
    <row r="44">
      <c r="A44" s="5" t="n"/>
      <c r="B44" s="6" t="n"/>
      <c r="C44" s="5" t="n"/>
      <c r="D44" s="5" t="n"/>
      <c r="E44" s="5" t="n"/>
      <c r="F44" s="5">
        <f>IF(A44="","",Huong_dan!$B$10)</f>
        <v/>
      </c>
      <c r="G44" s="5">
        <f>IF(A44="","",0)</f>
        <v/>
      </c>
      <c r="H44" s="5">
        <f>IF(A44="","",F44-G44)</f>
        <v/>
      </c>
      <c r="I44" s="5" t="n"/>
    </row>
    <row r="45">
      <c r="A45" s="5" t="n"/>
      <c r="B45" s="6" t="n"/>
      <c r="C45" s="5" t="n"/>
      <c r="D45" s="5" t="n"/>
      <c r="E45" s="5" t="n"/>
      <c r="F45" s="5">
        <f>IF(A45="","",Huong_dan!$B$10)</f>
        <v/>
      </c>
      <c r="G45" s="5">
        <f>IF(A45="","",0)</f>
        <v/>
      </c>
      <c r="H45" s="5">
        <f>IF(A45="","",F45-G45)</f>
        <v/>
      </c>
      <c r="I45" s="5" t="n"/>
    </row>
    <row r="46">
      <c r="A46" s="5" t="n"/>
      <c r="B46" s="6" t="n"/>
      <c r="C46" s="5" t="n"/>
      <c r="D46" s="5" t="n"/>
      <c r="E46" s="5" t="n"/>
      <c r="F46" s="5">
        <f>IF(A46="","",Huong_dan!$B$10)</f>
        <v/>
      </c>
      <c r="G46" s="5">
        <f>IF(A46="","",0)</f>
        <v/>
      </c>
      <c r="H46" s="5">
        <f>IF(A46="","",F46-G46)</f>
        <v/>
      </c>
      <c r="I46" s="5" t="n"/>
    </row>
    <row r="47">
      <c r="A47" s="5" t="n"/>
      <c r="B47" s="6" t="n"/>
      <c r="C47" s="5" t="n"/>
      <c r="D47" s="5" t="n"/>
      <c r="E47" s="5" t="n"/>
      <c r="F47" s="5">
        <f>IF(A47="","",Huong_dan!$B$10)</f>
        <v/>
      </c>
      <c r="G47" s="5">
        <f>IF(A47="","",0)</f>
        <v/>
      </c>
      <c r="H47" s="5">
        <f>IF(A47="","",F47-G47)</f>
        <v/>
      </c>
      <c r="I47" s="5" t="n"/>
    </row>
    <row r="48">
      <c r="A48" s="5" t="n"/>
      <c r="B48" s="6" t="n"/>
      <c r="C48" s="5" t="n"/>
      <c r="D48" s="5" t="n"/>
      <c r="E48" s="5" t="n"/>
      <c r="F48" s="5">
        <f>IF(A48="","",Huong_dan!$B$10)</f>
        <v/>
      </c>
      <c r="G48" s="5">
        <f>IF(A48="","",0)</f>
        <v/>
      </c>
      <c r="H48" s="5">
        <f>IF(A48="","",F48-G48)</f>
        <v/>
      </c>
      <c r="I48" s="5" t="n"/>
    </row>
    <row r="49">
      <c r="A49" s="5" t="n"/>
      <c r="B49" s="6" t="n"/>
      <c r="C49" s="5" t="n"/>
      <c r="D49" s="5" t="n"/>
      <c r="E49" s="5" t="n"/>
      <c r="F49" s="5">
        <f>IF(A49="","",Huong_dan!$B$10)</f>
        <v/>
      </c>
      <c r="G49" s="5">
        <f>IF(A49="","",0)</f>
        <v/>
      </c>
      <c r="H49" s="5">
        <f>IF(A49="","",F49-G49)</f>
        <v/>
      </c>
      <c r="I49" s="5" t="n"/>
    </row>
    <row r="50">
      <c r="A50" s="5" t="n"/>
      <c r="B50" s="6" t="n"/>
      <c r="C50" s="5" t="n"/>
      <c r="D50" s="5" t="n"/>
      <c r="E50" s="5" t="n"/>
      <c r="F50" s="5">
        <f>IF(A50="","",Huong_dan!$B$10)</f>
        <v/>
      </c>
      <c r="G50" s="5">
        <f>IF(A50="","",0)</f>
        <v/>
      </c>
      <c r="H50" s="5">
        <f>IF(A50="","",F50-G50)</f>
        <v/>
      </c>
      <c r="I50" s="5" t="n"/>
    </row>
    <row r="51">
      <c r="A51" s="5" t="n"/>
      <c r="B51" s="6" t="n"/>
      <c r="C51" s="5" t="n"/>
      <c r="D51" s="5" t="n"/>
      <c r="E51" s="5" t="n"/>
      <c r="F51" s="5">
        <f>IF(A51="","",Huong_dan!$B$10)</f>
        <v/>
      </c>
      <c r="G51" s="5">
        <f>IF(A51="","",0)</f>
        <v/>
      </c>
      <c r="H51" s="5">
        <f>IF(A51="","",F51-G51)</f>
        <v/>
      </c>
      <c r="I51" s="5" t="n"/>
    </row>
    <row r="52">
      <c r="A52" s="5" t="n"/>
      <c r="B52" s="6" t="n"/>
      <c r="C52" s="5" t="n"/>
      <c r="D52" s="5" t="n"/>
      <c r="E52" s="5" t="n"/>
      <c r="F52" s="5">
        <f>IF(A52="","",Huong_dan!$B$10)</f>
        <v/>
      </c>
      <c r="G52" s="5">
        <f>IF(A52="","",0)</f>
        <v/>
      </c>
      <c r="H52" s="5">
        <f>IF(A52="","",F52-G52)</f>
        <v/>
      </c>
      <c r="I52" s="5" t="n"/>
    </row>
    <row r="53">
      <c r="A53" s="5" t="n"/>
      <c r="B53" s="6" t="n"/>
      <c r="C53" s="5" t="n"/>
      <c r="D53" s="5" t="n"/>
      <c r="E53" s="5" t="n"/>
      <c r="F53" s="5">
        <f>IF(A53="","",Huong_dan!$B$10)</f>
        <v/>
      </c>
      <c r="G53" s="5">
        <f>IF(A53="","",0)</f>
        <v/>
      </c>
      <c r="H53" s="5">
        <f>IF(A53="","",F53-G53)</f>
        <v/>
      </c>
      <c r="I53" s="5" t="n"/>
    </row>
    <row r="54">
      <c r="A54" s="5" t="n"/>
      <c r="B54" s="6" t="n"/>
      <c r="C54" s="5" t="n"/>
      <c r="D54" s="5" t="n"/>
      <c r="E54" s="5" t="n"/>
      <c r="F54" s="5">
        <f>IF(A54="","",Huong_dan!$B$10)</f>
        <v/>
      </c>
      <c r="G54" s="5">
        <f>IF(A54="","",0)</f>
        <v/>
      </c>
      <c r="H54" s="5">
        <f>IF(A54="","",F54-G54)</f>
        <v/>
      </c>
      <c r="I54" s="5" t="n"/>
    </row>
    <row r="55">
      <c r="A55" s="5" t="n"/>
      <c r="B55" s="6" t="n"/>
      <c r="C55" s="5" t="n"/>
      <c r="D55" s="5" t="n"/>
      <c r="E55" s="5" t="n"/>
      <c r="F55" s="5">
        <f>IF(A55="","",Huong_dan!$B$10)</f>
        <v/>
      </c>
      <c r="G55" s="5">
        <f>IF(A55="","",0)</f>
        <v/>
      </c>
      <c r="H55" s="5">
        <f>IF(A55="","",F55-G55)</f>
        <v/>
      </c>
      <c r="I55" s="5" t="n"/>
    </row>
    <row r="56">
      <c r="A56" s="5" t="n"/>
      <c r="B56" s="6" t="n"/>
      <c r="C56" s="5" t="n"/>
      <c r="D56" s="5" t="n"/>
      <c r="E56" s="5" t="n"/>
      <c r="F56" s="5">
        <f>IF(A56="","",Huong_dan!$B$10)</f>
        <v/>
      </c>
      <c r="G56" s="5">
        <f>IF(A56="","",0)</f>
        <v/>
      </c>
      <c r="H56" s="5">
        <f>IF(A56="","",F56-G56)</f>
        <v/>
      </c>
      <c r="I56" s="5" t="n"/>
    </row>
    <row r="57">
      <c r="A57" s="5" t="n"/>
      <c r="B57" s="6" t="n"/>
      <c r="C57" s="5" t="n"/>
      <c r="D57" s="5" t="n"/>
      <c r="E57" s="5" t="n"/>
      <c r="F57" s="5">
        <f>IF(A57="","",Huong_dan!$B$10)</f>
        <v/>
      </c>
      <c r="G57" s="5">
        <f>IF(A57="","",0)</f>
        <v/>
      </c>
      <c r="H57" s="5">
        <f>IF(A57="","",F57-G57)</f>
        <v/>
      </c>
      <c r="I57" s="5" t="n"/>
    </row>
    <row r="58">
      <c r="A58" s="5" t="n"/>
      <c r="B58" s="6" t="n"/>
      <c r="C58" s="5" t="n"/>
      <c r="D58" s="5" t="n"/>
      <c r="E58" s="5" t="n"/>
      <c r="F58" s="5">
        <f>IF(A58="","",Huong_dan!$B$10)</f>
        <v/>
      </c>
      <c r="G58" s="5">
        <f>IF(A58="","",0)</f>
        <v/>
      </c>
      <c r="H58" s="5">
        <f>IF(A58="","",F58-G58)</f>
        <v/>
      </c>
      <c r="I58" s="5" t="n"/>
    </row>
    <row r="59">
      <c r="A59" s="5" t="n"/>
      <c r="B59" s="6" t="n"/>
      <c r="C59" s="5" t="n"/>
      <c r="D59" s="5" t="n"/>
      <c r="E59" s="5" t="n"/>
      <c r="F59" s="5">
        <f>IF(A59="","",Huong_dan!$B$10)</f>
        <v/>
      </c>
      <c r="G59" s="5">
        <f>IF(A59="","",0)</f>
        <v/>
      </c>
      <c r="H59" s="5">
        <f>IF(A59="","",F59-G59)</f>
        <v/>
      </c>
      <c r="I59" s="5" t="n"/>
    </row>
    <row r="60">
      <c r="A60" s="5" t="n"/>
      <c r="B60" s="6" t="n"/>
      <c r="C60" s="5" t="n"/>
      <c r="D60" s="5" t="n"/>
      <c r="E60" s="5" t="n"/>
      <c r="F60" s="5">
        <f>IF(A60="","",Huong_dan!$B$10)</f>
        <v/>
      </c>
      <c r="G60" s="5">
        <f>IF(A60="","",0)</f>
        <v/>
      </c>
      <c r="H60" s="5">
        <f>IF(A60="","",F60-G60)</f>
        <v/>
      </c>
      <c r="I60" s="5" t="n"/>
    </row>
    <row r="61">
      <c r="A61" s="5" t="n"/>
      <c r="B61" s="6" t="n"/>
      <c r="C61" s="5" t="n"/>
      <c r="D61" s="5" t="n"/>
      <c r="E61" s="5" t="n"/>
      <c r="F61" s="5">
        <f>IF(A61="","",Huong_dan!$B$10)</f>
        <v/>
      </c>
      <c r="G61" s="5">
        <f>IF(A61="","",0)</f>
        <v/>
      </c>
      <c r="H61" s="5">
        <f>IF(A61="","",F61-G61)</f>
        <v/>
      </c>
      <c r="I61" s="5" t="n"/>
    </row>
    <row r="62">
      <c r="A62" s="5" t="n"/>
      <c r="B62" s="6" t="n"/>
      <c r="C62" s="5" t="n"/>
      <c r="D62" s="5" t="n"/>
      <c r="E62" s="5" t="n"/>
      <c r="F62" s="5">
        <f>IF(A62="","",Huong_dan!$B$10)</f>
        <v/>
      </c>
      <c r="G62" s="5">
        <f>IF(A62="","",0)</f>
        <v/>
      </c>
      <c r="H62" s="5">
        <f>IF(A62="","",F62-G62)</f>
        <v/>
      </c>
      <c r="I62" s="5" t="n"/>
    </row>
    <row r="63">
      <c r="A63" s="5" t="n"/>
      <c r="B63" s="6" t="n"/>
      <c r="C63" s="5" t="n"/>
      <c r="D63" s="5" t="n"/>
      <c r="E63" s="5" t="n"/>
      <c r="F63" s="5">
        <f>IF(A63="","",Huong_dan!$B$10)</f>
        <v/>
      </c>
      <c r="G63" s="5">
        <f>IF(A63="","",0)</f>
        <v/>
      </c>
      <c r="H63" s="5">
        <f>IF(A63="","",F63-G63)</f>
        <v/>
      </c>
      <c r="I63" s="5" t="n"/>
    </row>
    <row r="64">
      <c r="A64" s="5" t="n"/>
      <c r="B64" s="6" t="n"/>
      <c r="C64" s="5" t="n"/>
      <c r="D64" s="5" t="n"/>
      <c r="E64" s="5" t="n"/>
      <c r="F64" s="5">
        <f>IF(A64="","",Huong_dan!$B$10)</f>
        <v/>
      </c>
      <c r="G64" s="5">
        <f>IF(A64="","",0)</f>
        <v/>
      </c>
      <c r="H64" s="5">
        <f>IF(A64="","",F64-G64)</f>
        <v/>
      </c>
      <c r="I64" s="5" t="n"/>
    </row>
    <row r="65">
      <c r="A65" s="5" t="n"/>
      <c r="B65" s="6" t="n"/>
      <c r="C65" s="5" t="n"/>
      <c r="D65" s="5" t="n"/>
      <c r="E65" s="5" t="n"/>
      <c r="F65" s="5">
        <f>IF(A65="","",Huong_dan!$B$10)</f>
        <v/>
      </c>
      <c r="G65" s="5">
        <f>IF(A65="","",0)</f>
        <v/>
      </c>
      <c r="H65" s="5">
        <f>IF(A65="","",F65-G65)</f>
        <v/>
      </c>
      <c r="I65" s="5" t="n"/>
    </row>
    <row r="66">
      <c r="A66" s="5" t="n"/>
      <c r="B66" s="6" t="n"/>
      <c r="C66" s="5" t="n"/>
      <c r="D66" s="5" t="n"/>
      <c r="E66" s="5" t="n"/>
      <c r="F66" s="5">
        <f>IF(A66="","",Huong_dan!$B$10)</f>
        <v/>
      </c>
      <c r="G66" s="5">
        <f>IF(A66="","",0)</f>
        <v/>
      </c>
      <c r="H66" s="5">
        <f>IF(A66="","",F66-G66)</f>
        <v/>
      </c>
      <c r="I66" s="5" t="n"/>
    </row>
    <row r="67">
      <c r="A67" s="5" t="n"/>
      <c r="B67" s="6" t="n"/>
      <c r="C67" s="5" t="n"/>
      <c r="D67" s="5" t="n"/>
      <c r="E67" s="5" t="n"/>
      <c r="F67" s="5">
        <f>IF(A67="","",Huong_dan!$B$10)</f>
        <v/>
      </c>
      <c r="G67" s="5">
        <f>IF(A67="","",0)</f>
        <v/>
      </c>
      <c r="H67" s="5">
        <f>IF(A67="","",F67-G67)</f>
        <v/>
      </c>
      <c r="I67" s="5" t="n"/>
    </row>
    <row r="68">
      <c r="A68" s="5" t="n"/>
      <c r="B68" s="6" t="n"/>
      <c r="C68" s="5" t="n"/>
      <c r="D68" s="5" t="n"/>
      <c r="E68" s="5" t="n"/>
      <c r="F68" s="5">
        <f>IF(A68="","",Huong_dan!$B$10)</f>
        <v/>
      </c>
      <c r="G68" s="5">
        <f>IF(A68="","",0)</f>
        <v/>
      </c>
      <c r="H68" s="5">
        <f>IF(A68="","",F68-G68)</f>
        <v/>
      </c>
      <c r="I68" s="5" t="n"/>
    </row>
    <row r="69">
      <c r="A69" s="5" t="n"/>
      <c r="B69" s="6" t="n"/>
      <c r="C69" s="5" t="n"/>
      <c r="D69" s="5" t="n"/>
      <c r="E69" s="5" t="n"/>
      <c r="F69" s="5">
        <f>IF(A69="","",Huong_dan!$B$10)</f>
        <v/>
      </c>
      <c r="G69" s="5">
        <f>IF(A69="","",0)</f>
        <v/>
      </c>
      <c r="H69" s="5">
        <f>IF(A69="","",F69-G69)</f>
        <v/>
      </c>
      <c r="I69" s="5" t="n"/>
    </row>
    <row r="70">
      <c r="A70" s="5" t="n"/>
      <c r="B70" s="6" t="n"/>
      <c r="C70" s="5" t="n"/>
      <c r="D70" s="5" t="n"/>
      <c r="E70" s="5" t="n"/>
      <c r="F70" s="5">
        <f>IF(A70="","",Huong_dan!$B$10)</f>
        <v/>
      </c>
      <c r="G70" s="5">
        <f>IF(A70="","",0)</f>
        <v/>
      </c>
      <c r="H70" s="5">
        <f>IF(A70="","",F70-G70)</f>
        <v/>
      </c>
      <c r="I70" s="5" t="n"/>
    </row>
    <row r="71">
      <c r="A71" s="5" t="n"/>
      <c r="B71" s="6" t="n"/>
      <c r="C71" s="5" t="n"/>
      <c r="D71" s="5" t="n"/>
      <c r="E71" s="5" t="n"/>
      <c r="F71" s="5">
        <f>IF(A71="","",Huong_dan!$B$10)</f>
        <v/>
      </c>
      <c r="G71" s="5">
        <f>IF(A71="","",0)</f>
        <v/>
      </c>
      <c r="H71" s="5">
        <f>IF(A71="","",F71-G71)</f>
        <v/>
      </c>
      <c r="I71" s="5" t="n"/>
    </row>
    <row r="72">
      <c r="A72" s="5" t="n"/>
      <c r="B72" s="6" t="n"/>
      <c r="C72" s="5" t="n"/>
      <c r="D72" s="5" t="n"/>
      <c r="E72" s="5" t="n"/>
      <c r="F72" s="5">
        <f>IF(A72="","",Huong_dan!$B$10)</f>
        <v/>
      </c>
      <c r="G72" s="5">
        <f>IF(A72="","",0)</f>
        <v/>
      </c>
      <c r="H72" s="5">
        <f>IF(A72="","",F72-G72)</f>
        <v/>
      </c>
      <c r="I72" s="5" t="n"/>
    </row>
    <row r="73">
      <c r="A73" s="5" t="n"/>
      <c r="B73" s="6" t="n"/>
      <c r="C73" s="5" t="n"/>
      <c r="D73" s="5" t="n"/>
      <c r="E73" s="5" t="n"/>
      <c r="F73" s="5">
        <f>IF(A73="","",Huong_dan!$B$10)</f>
        <v/>
      </c>
      <c r="G73" s="5">
        <f>IF(A73="","",0)</f>
        <v/>
      </c>
      <c r="H73" s="5">
        <f>IF(A73="","",F73-G73)</f>
        <v/>
      </c>
      <c r="I73" s="5" t="n"/>
    </row>
    <row r="74">
      <c r="A74" s="5" t="n"/>
      <c r="B74" s="6" t="n"/>
      <c r="C74" s="5" t="n"/>
      <c r="D74" s="5" t="n"/>
      <c r="E74" s="5" t="n"/>
      <c r="F74" s="5">
        <f>IF(A74="","",Huong_dan!$B$10)</f>
        <v/>
      </c>
      <c r="G74" s="5">
        <f>IF(A74="","",0)</f>
        <v/>
      </c>
      <c r="H74" s="5">
        <f>IF(A74="","",F74-G74)</f>
        <v/>
      </c>
      <c r="I74" s="5" t="n"/>
    </row>
    <row r="75">
      <c r="A75" s="5" t="n"/>
      <c r="B75" s="6" t="n"/>
      <c r="C75" s="5" t="n"/>
      <c r="D75" s="5" t="n"/>
      <c r="E75" s="5" t="n"/>
      <c r="F75" s="5">
        <f>IF(A75="","",Huong_dan!$B$10)</f>
        <v/>
      </c>
      <c r="G75" s="5">
        <f>IF(A75="","",0)</f>
        <v/>
      </c>
      <c r="H75" s="5">
        <f>IF(A75="","",F75-G75)</f>
        <v/>
      </c>
      <c r="I75" s="5" t="n"/>
    </row>
    <row r="76">
      <c r="A76" s="5" t="n"/>
      <c r="B76" s="6" t="n"/>
      <c r="C76" s="5" t="n"/>
      <c r="D76" s="5" t="n"/>
      <c r="E76" s="5" t="n"/>
      <c r="F76" s="5">
        <f>IF(A76="","",Huong_dan!$B$10)</f>
        <v/>
      </c>
      <c r="G76" s="5">
        <f>IF(A76="","",0)</f>
        <v/>
      </c>
      <c r="H76" s="5">
        <f>IF(A76="","",F76-G76)</f>
        <v/>
      </c>
      <c r="I76" s="5" t="n"/>
    </row>
    <row r="77">
      <c r="A77" s="5" t="n"/>
      <c r="B77" s="6" t="n"/>
      <c r="C77" s="5" t="n"/>
      <c r="D77" s="5" t="n"/>
      <c r="E77" s="5" t="n"/>
      <c r="F77" s="5">
        <f>IF(A77="","",Huong_dan!$B$10)</f>
        <v/>
      </c>
      <c r="G77" s="5">
        <f>IF(A77="","",0)</f>
        <v/>
      </c>
      <c r="H77" s="5">
        <f>IF(A77="","",F77-G77)</f>
        <v/>
      </c>
      <c r="I77" s="5" t="n"/>
    </row>
    <row r="78">
      <c r="A78" s="5" t="n"/>
      <c r="B78" s="6" t="n"/>
      <c r="C78" s="5" t="n"/>
      <c r="D78" s="5" t="n"/>
      <c r="E78" s="5" t="n"/>
      <c r="F78" s="5">
        <f>IF(A78="","",Huong_dan!$B$10)</f>
        <v/>
      </c>
      <c r="G78" s="5">
        <f>IF(A78="","",0)</f>
        <v/>
      </c>
      <c r="H78" s="5">
        <f>IF(A78="","",F78-G78)</f>
        <v/>
      </c>
      <c r="I78" s="5" t="n"/>
    </row>
    <row r="79">
      <c r="A79" s="5" t="n"/>
      <c r="B79" s="6" t="n"/>
      <c r="C79" s="5" t="n"/>
      <c r="D79" s="5" t="n"/>
      <c r="E79" s="5" t="n"/>
      <c r="F79" s="5">
        <f>IF(A79="","",Huong_dan!$B$10)</f>
        <v/>
      </c>
      <c r="G79" s="5">
        <f>IF(A79="","",0)</f>
        <v/>
      </c>
      <c r="H79" s="5">
        <f>IF(A79="","",F79-G79)</f>
        <v/>
      </c>
      <c r="I79" s="5" t="n"/>
    </row>
    <row r="80">
      <c r="A80" s="5" t="n"/>
      <c r="B80" s="6" t="n"/>
      <c r="C80" s="5" t="n"/>
      <c r="D80" s="5" t="n"/>
      <c r="E80" s="5" t="n"/>
      <c r="F80" s="5">
        <f>IF(A80="","",Huong_dan!$B$10)</f>
        <v/>
      </c>
      <c r="G80" s="5">
        <f>IF(A80="","",0)</f>
        <v/>
      </c>
      <c r="H80" s="5">
        <f>IF(A80="","",F80-G80)</f>
        <v/>
      </c>
      <c r="I80" s="5" t="n"/>
    </row>
    <row r="81">
      <c r="A81" s="5" t="n"/>
      <c r="B81" s="6" t="n"/>
      <c r="C81" s="5" t="n"/>
      <c r="D81" s="5" t="n"/>
      <c r="E81" s="5" t="n"/>
      <c r="F81" s="5">
        <f>IF(A81="","",Huong_dan!$B$10)</f>
        <v/>
      </c>
      <c r="G81" s="5">
        <f>IF(A81="","",0)</f>
        <v/>
      </c>
      <c r="H81" s="5">
        <f>IF(A81="","",F81-G81)</f>
        <v/>
      </c>
      <c r="I81" s="5" t="n"/>
    </row>
    <row r="82">
      <c r="A82" s="5" t="n"/>
      <c r="B82" s="6" t="n"/>
      <c r="C82" s="5" t="n"/>
      <c r="D82" s="5" t="n"/>
      <c r="E82" s="5" t="n"/>
      <c r="F82" s="5">
        <f>IF(A82="","",Huong_dan!$B$10)</f>
        <v/>
      </c>
      <c r="G82" s="5">
        <f>IF(A82="","",0)</f>
        <v/>
      </c>
      <c r="H82" s="5">
        <f>IF(A82="","",F82-G82)</f>
        <v/>
      </c>
      <c r="I82" s="5" t="n"/>
    </row>
    <row r="83">
      <c r="A83" s="5" t="n"/>
      <c r="B83" s="6" t="n"/>
      <c r="C83" s="5" t="n"/>
      <c r="D83" s="5" t="n"/>
      <c r="E83" s="5" t="n"/>
      <c r="F83" s="5">
        <f>IF(A83="","",Huong_dan!$B$10)</f>
        <v/>
      </c>
      <c r="G83" s="5">
        <f>IF(A83="","",0)</f>
        <v/>
      </c>
      <c r="H83" s="5">
        <f>IF(A83="","",F83-G83)</f>
        <v/>
      </c>
      <c r="I83" s="5" t="n"/>
    </row>
    <row r="84">
      <c r="A84" s="5" t="n"/>
      <c r="B84" s="6" t="n"/>
      <c r="C84" s="5" t="n"/>
      <c r="D84" s="5" t="n"/>
      <c r="E84" s="5" t="n"/>
      <c r="F84" s="5">
        <f>IF(A84="","",Huong_dan!$B$10)</f>
        <v/>
      </c>
      <c r="G84" s="5">
        <f>IF(A84="","",0)</f>
        <v/>
      </c>
      <c r="H84" s="5">
        <f>IF(A84="","",F84-G84)</f>
        <v/>
      </c>
      <c r="I84" s="5" t="n"/>
    </row>
    <row r="85">
      <c r="A85" s="5" t="n"/>
      <c r="B85" s="6" t="n"/>
      <c r="C85" s="5" t="n"/>
      <c r="D85" s="5" t="n"/>
      <c r="E85" s="5" t="n"/>
      <c r="F85" s="5">
        <f>IF(A85="","",Huong_dan!$B$10)</f>
        <v/>
      </c>
      <c r="G85" s="5">
        <f>IF(A85="","",0)</f>
        <v/>
      </c>
      <c r="H85" s="5">
        <f>IF(A85="","",F85-G85)</f>
        <v/>
      </c>
      <c r="I85" s="5" t="n"/>
    </row>
    <row r="86">
      <c r="A86" s="5" t="n"/>
      <c r="B86" s="6" t="n"/>
      <c r="C86" s="5" t="n"/>
      <c r="D86" s="5" t="n"/>
      <c r="E86" s="5" t="n"/>
      <c r="F86" s="5">
        <f>IF(A86="","",Huong_dan!$B$10)</f>
        <v/>
      </c>
      <c r="G86" s="5">
        <f>IF(A86="","",0)</f>
        <v/>
      </c>
      <c r="H86" s="5">
        <f>IF(A86="","",F86-G86)</f>
        <v/>
      </c>
      <c r="I86" s="5" t="n"/>
    </row>
    <row r="87">
      <c r="A87" s="5" t="n"/>
      <c r="B87" s="6" t="n"/>
      <c r="C87" s="5" t="n"/>
      <c r="D87" s="5" t="n"/>
      <c r="E87" s="5" t="n"/>
      <c r="F87" s="5">
        <f>IF(A87="","",Huong_dan!$B$10)</f>
        <v/>
      </c>
      <c r="G87" s="5">
        <f>IF(A87="","",0)</f>
        <v/>
      </c>
      <c r="H87" s="5">
        <f>IF(A87="","",F87-G87)</f>
        <v/>
      </c>
      <c r="I87" s="5" t="n"/>
    </row>
    <row r="88">
      <c r="A88" s="5" t="n"/>
      <c r="B88" s="6" t="n"/>
      <c r="C88" s="5" t="n"/>
      <c r="D88" s="5" t="n"/>
      <c r="E88" s="5" t="n"/>
      <c r="F88" s="5">
        <f>IF(A88="","",Huong_dan!$B$10)</f>
        <v/>
      </c>
      <c r="G88" s="5">
        <f>IF(A88="","",0)</f>
        <v/>
      </c>
      <c r="H88" s="5">
        <f>IF(A88="","",F88-G88)</f>
        <v/>
      </c>
      <c r="I88" s="5" t="n"/>
    </row>
    <row r="89">
      <c r="A89" s="5" t="n"/>
      <c r="B89" s="6" t="n"/>
      <c r="C89" s="5" t="n"/>
      <c r="D89" s="5" t="n"/>
      <c r="E89" s="5" t="n"/>
      <c r="F89" s="5">
        <f>IF(A89="","",Huong_dan!$B$10)</f>
        <v/>
      </c>
      <c r="G89" s="5">
        <f>IF(A89="","",0)</f>
        <v/>
      </c>
      <c r="H89" s="5">
        <f>IF(A89="","",F89-G89)</f>
        <v/>
      </c>
      <c r="I89" s="5" t="n"/>
    </row>
    <row r="90">
      <c r="A90" s="5" t="n"/>
      <c r="B90" s="6" t="n"/>
      <c r="C90" s="5" t="n"/>
      <c r="D90" s="5" t="n"/>
      <c r="E90" s="5" t="n"/>
      <c r="F90" s="5">
        <f>IF(A90="","",Huong_dan!$B$10)</f>
        <v/>
      </c>
      <c r="G90" s="5">
        <f>IF(A90="","",0)</f>
        <v/>
      </c>
      <c r="H90" s="5">
        <f>IF(A90="","",F90-G90)</f>
        <v/>
      </c>
      <c r="I90" s="5" t="n"/>
    </row>
    <row r="91">
      <c r="A91" s="5" t="n"/>
      <c r="B91" s="6" t="n"/>
      <c r="C91" s="5" t="n"/>
      <c r="D91" s="5" t="n"/>
      <c r="E91" s="5" t="n"/>
      <c r="F91" s="5">
        <f>IF(A91="","",Huong_dan!$B$10)</f>
        <v/>
      </c>
      <c r="G91" s="5">
        <f>IF(A91="","",0)</f>
        <v/>
      </c>
      <c r="H91" s="5">
        <f>IF(A91="","",F91-G91)</f>
        <v/>
      </c>
      <c r="I91" s="5" t="n"/>
    </row>
    <row r="92">
      <c r="A92" s="5" t="n"/>
      <c r="B92" s="6" t="n"/>
      <c r="C92" s="5" t="n"/>
      <c r="D92" s="5" t="n"/>
      <c r="E92" s="5" t="n"/>
      <c r="F92" s="5">
        <f>IF(A92="","",Huong_dan!$B$10)</f>
        <v/>
      </c>
      <c r="G92" s="5">
        <f>IF(A92="","",0)</f>
        <v/>
      </c>
      <c r="H92" s="5">
        <f>IF(A92="","",F92-G92)</f>
        <v/>
      </c>
      <c r="I92" s="5" t="n"/>
    </row>
    <row r="93">
      <c r="A93" s="5" t="n"/>
      <c r="B93" s="6" t="n"/>
      <c r="C93" s="5" t="n"/>
      <c r="D93" s="5" t="n"/>
      <c r="E93" s="5" t="n"/>
      <c r="F93" s="5">
        <f>IF(A93="","",Huong_dan!$B$10)</f>
        <v/>
      </c>
      <c r="G93" s="5">
        <f>IF(A93="","",0)</f>
        <v/>
      </c>
      <c r="H93" s="5">
        <f>IF(A93="","",F93-G93)</f>
        <v/>
      </c>
      <c r="I93" s="5" t="n"/>
    </row>
    <row r="94">
      <c r="A94" s="5" t="n"/>
      <c r="B94" s="6" t="n"/>
      <c r="C94" s="5" t="n"/>
      <c r="D94" s="5" t="n"/>
      <c r="E94" s="5" t="n"/>
      <c r="F94" s="5">
        <f>IF(A94="","",Huong_dan!$B$10)</f>
        <v/>
      </c>
      <c r="G94" s="5">
        <f>IF(A94="","",0)</f>
        <v/>
      </c>
      <c r="H94" s="5">
        <f>IF(A94="","",F94-G94)</f>
        <v/>
      </c>
      <c r="I94" s="5" t="n"/>
    </row>
    <row r="95">
      <c r="A95" s="5" t="n"/>
      <c r="B95" s="6" t="n"/>
      <c r="C95" s="5" t="n"/>
      <c r="D95" s="5" t="n"/>
      <c r="E95" s="5" t="n"/>
      <c r="F95" s="5">
        <f>IF(A95="","",Huong_dan!$B$10)</f>
        <v/>
      </c>
      <c r="G95" s="5">
        <f>IF(A95="","",0)</f>
        <v/>
      </c>
      <c r="H95" s="5">
        <f>IF(A95="","",F95-G95)</f>
        <v/>
      </c>
      <c r="I95" s="5" t="n"/>
    </row>
    <row r="96">
      <c r="A96" s="5" t="n"/>
      <c r="B96" s="6" t="n"/>
      <c r="C96" s="5" t="n"/>
      <c r="D96" s="5" t="n"/>
      <c r="E96" s="5" t="n"/>
      <c r="F96" s="5">
        <f>IF(A96="","",Huong_dan!$B$10)</f>
        <v/>
      </c>
      <c r="G96" s="5">
        <f>IF(A96="","",0)</f>
        <v/>
      </c>
      <c r="H96" s="5">
        <f>IF(A96="","",F96-G96)</f>
        <v/>
      </c>
      <c r="I96" s="5" t="n"/>
    </row>
    <row r="97">
      <c r="A97" s="5" t="n"/>
      <c r="B97" s="6" t="n"/>
      <c r="C97" s="5" t="n"/>
      <c r="D97" s="5" t="n"/>
      <c r="E97" s="5" t="n"/>
      <c r="F97" s="5">
        <f>IF(A97="","",Huong_dan!$B$10)</f>
        <v/>
      </c>
      <c r="G97" s="5">
        <f>IF(A97="","",0)</f>
        <v/>
      </c>
      <c r="H97" s="5">
        <f>IF(A97="","",F97-G97)</f>
        <v/>
      </c>
      <c r="I97" s="5" t="n"/>
    </row>
    <row r="98">
      <c r="A98" s="5" t="n"/>
      <c r="B98" s="6" t="n"/>
      <c r="C98" s="5" t="n"/>
      <c r="D98" s="5" t="n"/>
      <c r="E98" s="5" t="n"/>
      <c r="F98" s="5">
        <f>IF(A98="","",Huong_dan!$B$10)</f>
        <v/>
      </c>
      <c r="G98" s="5">
        <f>IF(A98="","",0)</f>
        <v/>
      </c>
      <c r="H98" s="5">
        <f>IF(A98="","",F98-G98)</f>
        <v/>
      </c>
      <c r="I98" s="5" t="n"/>
    </row>
    <row r="99">
      <c r="A99" s="5" t="n"/>
      <c r="B99" s="6" t="n"/>
      <c r="C99" s="5" t="n"/>
      <c r="D99" s="5" t="n"/>
      <c r="E99" s="5" t="n"/>
      <c r="F99" s="5">
        <f>IF(A99="","",Huong_dan!$B$10)</f>
        <v/>
      </c>
      <c r="G99" s="5">
        <f>IF(A99="","",0)</f>
        <v/>
      </c>
      <c r="H99" s="5">
        <f>IF(A99="","",F99-G99)</f>
        <v/>
      </c>
      <c r="I99" s="5" t="n"/>
    </row>
    <row r="100">
      <c r="A100" s="5" t="n"/>
      <c r="B100" s="6" t="n"/>
      <c r="C100" s="5" t="n"/>
      <c r="D100" s="5" t="n"/>
      <c r="E100" s="5" t="n"/>
      <c r="F100" s="5">
        <f>IF(A100="","",Huong_dan!$B$10)</f>
        <v/>
      </c>
      <c r="G100" s="5">
        <f>IF(A100="","",0)</f>
        <v/>
      </c>
      <c r="H100" s="5">
        <f>IF(A100="","",F100-G100)</f>
        <v/>
      </c>
      <c r="I100" s="5" t="n"/>
    </row>
    <row r="101">
      <c r="A101" s="5" t="n"/>
      <c r="B101" s="6" t="n"/>
      <c r="C101" s="5" t="n"/>
      <c r="D101" s="5" t="n"/>
      <c r="E101" s="5" t="n"/>
      <c r="F101" s="5">
        <f>IF(A101="","",Huong_dan!$B$10)</f>
        <v/>
      </c>
      <c r="G101" s="5">
        <f>IF(A101="","",0)</f>
        <v/>
      </c>
      <c r="H101" s="5">
        <f>IF(A101="","",F101-G101)</f>
        <v/>
      </c>
      <c r="I101" s="5" t="n"/>
    </row>
    <row r="102">
      <c r="A102" s="5" t="n"/>
      <c r="B102" s="6" t="n"/>
      <c r="C102" s="5" t="n"/>
      <c r="D102" s="5" t="n"/>
      <c r="E102" s="5" t="n"/>
      <c r="F102" s="5">
        <f>IF(A102="","",Huong_dan!$B$10)</f>
        <v/>
      </c>
      <c r="G102" s="5">
        <f>IF(A102="","",0)</f>
        <v/>
      </c>
      <c r="H102" s="5">
        <f>IF(A102="","",F102-G102)</f>
        <v/>
      </c>
      <c r="I102" s="5" t="n"/>
    </row>
  </sheetData>
  <mergeCells count="1">
    <mergeCell ref="A1:I1"/>
  </mergeCells>
  <dataValidations count="1">
    <dataValidation sqref="E3:E102" showDropDown="0" showInputMessage="0" showErrorMessage="0" allowBlank="1" type="list">
      <formula1>"Dang_day,Nghi_thai_san,Thinh_giang,Kiem_nhiem"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28" customWidth="1" min="7" max="7"/>
    <col width="30" customWidth="1" min="8" max="8"/>
  </cols>
  <sheetData>
    <row r="1">
      <c r="A1" s="3" t="inlineStr">
        <is>
          <t>Danh muc lop</t>
        </is>
      </c>
    </row>
    <row r="2">
      <c r="A2" s="4" t="inlineStr">
        <is>
          <t>Lop</t>
        </is>
      </c>
      <c r="B2" s="4" t="inlineStr">
        <is>
          <t>Khoi</t>
        </is>
      </c>
      <c r="C2" s="4" t="inlineStr">
        <is>
          <t>Si_so</t>
        </is>
      </c>
      <c r="D2" s="4" t="inlineStr">
        <is>
          <t>Buoi_hoc</t>
        </is>
      </c>
      <c r="E2" s="4" t="inlineStr">
        <is>
          <t>Ma_to_hop</t>
        </is>
      </c>
      <c r="F2" s="4" t="inlineStr">
        <is>
          <t>GVCN_Ma</t>
        </is>
      </c>
      <c r="G2" s="4" t="inlineStr">
        <is>
          <t>GVCN_Ho_ten</t>
        </is>
      </c>
      <c r="H2" s="4" t="inlineStr">
        <is>
          <t>Ghi_chu</t>
        </is>
      </c>
    </row>
    <row r="3">
      <c r="A3" s="5" t="n"/>
      <c r="B3" s="6" t="n"/>
      <c r="C3" s="5" t="n"/>
      <c r="D3" s="5" t="n"/>
      <c r="E3" s="5" t="n"/>
      <c r="F3" s="5" t="n"/>
      <c r="G3" s="5">
        <f>IFERROR(VLOOKUP(F3,DM_Giao_vien!$A$3:$H$102,2,FALSE),"")</f>
        <v/>
      </c>
      <c r="H3" s="5" t="n"/>
    </row>
    <row r="4">
      <c r="A4" s="5" t="n"/>
      <c r="B4" s="6" t="n"/>
      <c r="C4" s="5" t="n"/>
      <c r="D4" s="5" t="n"/>
      <c r="E4" s="5" t="n"/>
      <c r="F4" s="5" t="n"/>
      <c r="G4" s="5">
        <f>IFERROR(VLOOKUP(F4,DM_Giao_vien!$A$3:$H$102,2,FALSE),"")</f>
        <v/>
      </c>
      <c r="H4" s="5" t="n"/>
    </row>
    <row r="5">
      <c r="A5" s="5" t="n"/>
      <c r="B5" s="6" t="n"/>
      <c r="C5" s="5" t="n"/>
      <c r="D5" s="5" t="n"/>
      <c r="E5" s="5" t="n"/>
      <c r="F5" s="5" t="n"/>
      <c r="G5" s="5">
        <f>IFERROR(VLOOKUP(F5,DM_Giao_vien!$A$3:$H$102,2,FALSE),"")</f>
        <v/>
      </c>
      <c r="H5" s="5" t="n"/>
    </row>
    <row r="6">
      <c r="A6" s="5" t="n"/>
      <c r="B6" s="6" t="n"/>
      <c r="C6" s="5" t="n"/>
      <c r="D6" s="5" t="n"/>
      <c r="E6" s="5" t="n"/>
      <c r="F6" s="5" t="n"/>
      <c r="G6" s="5">
        <f>IFERROR(VLOOKUP(F6,DM_Giao_vien!$A$3:$H$102,2,FALSE),"")</f>
        <v/>
      </c>
      <c r="H6" s="5" t="n"/>
    </row>
    <row r="7">
      <c r="A7" s="5" t="n"/>
      <c r="B7" s="6" t="n"/>
      <c r="C7" s="5" t="n"/>
      <c r="D7" s="5" t="n"/>
      <c r="E7" s="5" t="n"/>
      <c r="F7" s="5" t="n"/>
      <c r="G7" s="5">
        <f>IFERROR(VLOOKUP(F7,DM_Giao_vien!$A$3:$H$102,2,FALSE),"")</f>
        <v/>
      </c>
      <c r="H7" s="5" t="n"/>
    </row>
    <row r="8">
      <c r="A8" s="5" t="n"/>
      <c r="B8" s="6" t="n"/>
      <c r="C8" s="5" t="n"/>
      <c r="D8" s="5" t="n"/>
      <c r="E8" s="5" t="n"/>
      <c r="F8" s="5" t="n"/>
      <c r="G8" s="5">
        <f>IFERROR(VLOOKUP(F8,DM_Giao_vien!$A$3:$H$102,2,FALSE),"")</f>
        <v/>
      </c>
      <c r="H8" s="5" t="n"/>
    </row>
    <row r="9">
      <c r="A9" s="5" t="n"/>
      <c r="B9" s="6" t="n"/>
      <c r="C9" s="5" t="n"/>
      <c r="D9" s="5" t="n"/>
      <c r="E9" s="5" t="n"/>
      <c r="F9" s="5" t="n"/>
      <c r="G9" s="5">
        <f>IFERROR(VLOOKUP(F9,DM_Giao_vien!$A$3:$H$102,2,FALSE),"")</f>
        <v/>
      </c>
      <c r="H9" s="5" t="n"/>
    </row>
    <row r="10">
      <c r="A10" s="5" t="n"/>
      <c r="B10" s="6" t="n"/>
      <c r="C10" s="5" t="n"/>
      <c r="D10" s="5" t="n"/>
      <c r="E10" s="5" t="n"/>
      <c r="F10" s="5" t="n"/>
      <c r="G10" s="5">
        <f>IFERROR(VLOOKUP(F10,DM_Giao_vien!$A$3:$H$102,2,FALSE),"")</f>
        <v/>
      </c>
      <c r="H10" s="5" t="n"/>
    </row>
    <row r="11">
      <c r="A11" s="5" t="n"/>
      <c r="B11" s="6" t="n"/>
      <c r="C11" s="5" t="n"/>
      <c r="D11" s="5" t="n"/>
      <c r="E11" s="5" t="n"/>
      <c r="F11" s="5" t="n"/>
      <c r="G11" s="5">
        <f>IFERROR(VLOOKUP(F11,DM_Giao_vien!$A$3:$H$102,2,FALSE),"")</f>
        <v/>
      </c>
      <c r="H11" s="5" t="n"/>
    </row>
    <row r="12">
      <c r="A12" s="5" t="n"/>
      <c r="B12" s="6" t="n"/>
      <c r="C12" s="5" t="n"/>
      <c r="D12" s="5" t="n"/>
      <c r="E12" s="5" t="n"/>
      <c r="F12" s="5" t="n"/>
      <c r="G12" s="5">
        <f>IFERROR(VLOOKUP(F12,DM_Giao_vien!$A$3:$H$102,2,FALSE),"")</f>
        <v/>
      </c>
      <c r="H12" s="5" t="n"/>
    </row>
    <row r="13">
      <c r="A13" s="5" t="n"/>
      <c r="B13" s="6" t="n"/>
      <c r="C13" s="5" t="n"/>
      <c r="D13" s="5" t="n"/>
      <c r="E13" s="5" t="n"/>
      <c r="F13" s="5" t="n"/>
      <c r="G13" s="5">
        <f>IFERROR(VLOOKUP(F13,DM_Giao_vien!$A$3:$H$102,2,FALSE),"")</f>
        <v/>
      </c>
      <c r="H13" s="5" t="n"/>
    </row>
    <row r="14">
      <c r="A14" s="5" t="n"/>
      <c r="B14" s="6" t="n"/>
      <c r="C14" s="5" t="n"/>
      <c r="D14" s="5" t="n"/>
      <c r="E14" s="5" t="n"/>
      <c r="F14" s="5" t="n"/>
      <c r="G14" s="5">
        <f>IFERROR(VLOOKUP(F14,DM_Giao_vien!$A$3:$H$102,2,FALSE),"")</f>
        <v/>
      </c>
      <c r="H14" s="5" t="n"/>
    </row>
    <row r="15">
      <c r="A15" s="5" t="n"/>
      <c r="B15" s="6" t="n"/>
      <c r="C15" s="5" t="n"/>
      <c r="D15" s="5" t="n"/>
      <c r="E15" s="5" t="n"/>
      <c r="F15" s="5" t="n"/>
      <c r="G15" s="5">
        <f>IFERROR(VLOOKUP(F15,DM_Giao_vien!$A$3:$H$102,2,FALSE),"")</f>
        <v/>
      </c>
      <c r="H15" s="5" t="n"/>
    </row>
    <row r="16">
      <c r="A16" s="5" t="n"/>
      <c r="B16" s="6" t="n"/>
      <c r="C16" s="5" t="n"/>
      <c r="D16" s="5" t="n"/>
      <c r="E16" s="5" t="n"/>
      <c r="F16" s="5" t="n"/>
      <c r="G16" s="5">
        <f>IFERROR(VLOOKUP(F16,DM_Giao_vien!$A$3:$H$102,2,FALSE),"")</f>
        <v/>
      </c>
      <c r="H16" s="5" t="n"/>
    </row>
    <row r="17">
      <c r="A17" s="5" t="n"/>
      <c r="B17" s="6" t="n"/>
      <c r="C17" s="5" t="n"/>
      <c r="D17" s="5" t="n"/>
      <c r="E17" s="5" t="n"/>
      <c r="F17" s="5" t="n"/>
      <c r="G17" s="5">
        <f>IFERROR(VLOOKUP(F17,DM_Giao_vien!$A$3:$H$102,2,FALSE),"")</f>
        <v/>
      </c>
      <c r="H17" s="5" t="n"/>
    </row>
    <row r="18">
      <c r="A18" s="5" t="n"/>
      <c r="B18" s="6" t="n"/>
      <c r="C18" s="5" t="n"/>
      <c r="D18" s="5" t="n"/>
      <c r="E18" s="5" t="n"/>
      <c r="F18" s="5" t="n"/>
      <c r="G18" s="5">
        <f>IFERROR(VLOOKUP(F18,DM_Giao_vien!$A$3:$H$102,2,FALSE),"")</f>
        <v/>
      </c>
      <c r="H18" s="5" t="n"/>
    </row>
    <row r="19">
      <c r="A19" s="5" t="n"/>
      <c r="B19" s="6" t="n"/>
      <c r="C19" s="5" t="n"/>
      <c r="D19" s="5" t="n"/>
      <c r="E19" s="5" t="n"/>
      <c r="F19" s="5" t="n"/>
      <c r="G19" s="5">
        <f>IFERROR(VLOOKUP(F19,DM_Giao_vien!$A$3:$H$102,2,FALSE),"")</f>
        <v/>
      </c>
      <c r="H19" s="5" t="n"/>
    </row>
    <row r="20">
      <c r="A20" s="5" t="n"/>
      <c r="B20" s="6" t="n"/>
      <c r="C20" s="5" t="n"/>
      <c r="D20" s="5" t="n"/>
      <c r="E20" s="5" t="n"/>
      <c r="F20" s="5" t="n"/>
      <c r="G20" s="5">
        <f>IFERROR(VLOOKUP(F20,DM_Giao_vien!$A$3:$H$102,2,FALSE),"")</f>
        <v/>
      </c>
      <c r="H20" s="5" t="n"/>
    </row>
    <row r="21">
      <c r="A21" s="5" t="n"/>
      <c r="B21" s="6" t="n"/>
      <c r="C21" s="5" t="n"/>
      <c r="D21" s="5" t="n"/>
      <c r="E21" s="5" t="n"/>
      <c r="F21" s="5" t="n"/>
      <c r="G21" s="5">
        <f>IFERROR(VLOOKUP(F21,DM_Giao_vien!$A$3:$H$102,2,FALSE),"")</f>
        <v/>
      </c>
      <c r="H21" s="5" t="n"/>
    </row>
    <row r="22">
      <c r="A22" s="5" t="n"/>
      <c r="B22" s="6" t="n"/>
      <c r="C22" s="5" t="n"/>
      <c r="D22" s="5" t="n"/>
      <c r="E22" s="5" t="n"/>
      <c r="F22" s="5" t="n"/>
      <c r="G22" s="5">
        <f>IFERROR(VLOOKUP(F22,DM_Giao_vien!$A$3:$H$102,2,FALSE),"")</f>
        <v/>
      </c>
      <c r="H22" s="5" t="n"/>
    </row>
    <row r="23">
      <c r="A23" s="5" t="n"/>
      <c r="B23" s="6" t="n"/>
      <c r="C23" s="5" t="n"/>
      <c r="D23" s="5" t="n"/>
      <c r="E23" s="5" t="n"/>
      <c r="F23" s="5" t="n"/>
      <c r="G23" s="5">
        <f>IFERROR(VLOOKUP(F23,DM_Giao_vien!$A$3:$H$102,2,FALSE),"")</f>
        <v/>
      </c>
      <c r="H23" s="5" t="n"/>
    </row>
    <row r="24">
      <c r="A24" s="5" t="n"/>
      <c r="B24" s="6" t="n"/>
      <c r="C24" s="5" t="n"/>
      <c r="D24" s="5" t="n"/>
      <c r="E24" s="5" t="n"/>
      <c r="F24" s="5" t="n"/>
      <c r="G24" s="5">
        <f>IFERROR(VLOOKUP(F24,DM_Giao_vien!$A$3:$H$102,2,FALSE),"")</f>
        <v/>
      </c>
      <c r="H24" s="5" t="n"/>
    </row>
    <row r="25">
      <c r="A25" s="5" t="n"/>
      <c r="B25" s="6" t="n"/>
      <c r="C25" s="5" t="n"/>
      <c r="D25" s="5" t="n"/>
      <c r="E25" s="5" t="n"/>
      <c r="F25" s="5" t="n"/>
      <c r="G25" s="5">
        <f>IFERROR(VLOOKUP(F25,DM_Giao_vien!$A$3:$H$102,2,FALSE),"")</f>
        <v/>
      </c>
      <c r="H25" s="5" t="n"/>
    </row>
    <row r="26">
      <c r="A26" s="5" t="n"/>
      <c r="B26" s="6" t="n"/>
      <c r="C26" s="5" t="n"/>
      <c r="D26" s="5" t="n"/>
      <c r="E26" s="5" t="n"/>
      <c r="F26" s="5" t="n"/>
      <c r="G26" s="5">
        <f>IFERROR(VLOOKUP(F26,DM_Giao_vien!$A$3:$H$102,2,FALSE),"")</f>
        <v/>
      </c>
      <c r="H26" s="5" t="n"/>
    </row>
    <row r="27">
      <c r="A27" s="5" t="n"/>
      <c r="B27" s="6" t="n"/>
      <c r="C27" s="5" t="n"/>
      <c r="D27" s="5" t="n"/>
      <c r="E27" s="5" t="n"/>
      <c r="F27" s="5" t="n"/>
      <c r="G27" s="5">
        <f>IFERROR(VLOOKUP(F27,DM_Giao_vien!$A$3:$H$102,2,FALSE),"")</f>
        <v/>
      </c>
      <c r="H27" s="5" t="n"/>
    </row>
    <row r="28">
      <c r="A28" s="5" t="n"/>
      <c r="B28" s="6" t="n"/>
      <c r="C28" s="5" t="n"/>
      <c r="D28" s="5" t="n"/>
      <c r="E28" s="5" t="n"/>
      <c r="F28" s="5" t="n"/>
      <c r="G28" s="5">
        <f>IFERROR(VLOOKUP(F28,DM_Giao_vien!$A$3:$H$102,2,FALSE),"")</f>
        <v/>
      </c>
      <c r="H28" s="5" t="n"/>
    </row>
    <row r="29">
      <c r="A29" s="5" t="n"/>
      <c r="B29" s="6" t="n"/>
      <c r="C29" s="5" t="n"/>
      <c r="D29" s="5" t="n"/>
      <c r="E29" s="5" t="n"/>
      <c r="F29" s="5" t="n"/>
      <c r="G29" s="5">
        <f>IFERROR(VLOOKUP(F29,DM_Giao_vien!$A$3:$H$102,2,FALSE),"")</f>
        <v/>
      </c>
      <c r="H29" s="5" t="n"/>
    </row>
    <row r="30">
      <c r="A30" s="5" t="n"/>
      <c r="B30" s="6" t="n"/>
      <c r="C30" s="5" t="n"/>
      <c r="D30" s="5" t="n"/>
      <c r="E30" s="5" t="n"/>
      <c r="F30" s="5" t="n"/>
      <c r="G30" s="5">
        <f>IFERROR(VLOOKUP(F30,DM_Giao_vien!$A$3:$H$102,2,FALSE),"")</f>
        <v/>
      </c>
      <c r="H30" s="5" t="n"/>
    </row>
    <row r="31">
      <c r="A31" s="5" t="n"/>
      <c r="B31" s="6" t="n"/>
      <c r="C31" s="5" t="n"/>
      <c r="D31" s="5" t="n"/>
      <c r="E31" s="5" t="n"/>
      <c r="F31" s="5" t="n"/>
      <c r="G31" s="5">
        <f>IFERROR(VLOOKUP(F31,DM_Giao_vien!$A$3:$H$102,2,FALSE),"")</f>
        <v/>
      </c>
      <c r="H31" s="5" t="n"/>
    </row>
    <row r="32">
      <c r="A32" s="5" t="n"/>
      <c r="B32" s="6" t="n"/>
      <c r="C32" s="5" t="n"/>
      <c r="D32" s="5" t="n"/>
      <c r="E32" s="5" t="n"/>
      <c r="F32" s="5" t="n"/>
      <c r="G32" s="5">
        <f>IFERROR(VLOOKUP(F32,DM_Giao_vien!$A$3:$H$102,2,FALSE),"")</f>
        <v/>
      </c>
      <c r="H32" s="5" t="n"/>
    </row>
    <row r="33">
      <c r="A33" s="5" t="n"/>
      <c r="B33" s="6" t="n"/>
      <c r="C33" s="5" t="n"/>
      <c r="D33" s="5" t="n"/>
      <c r="E33" s="5" t="n"/>
      <c r="F33" s="5" t="n"/>
      <c r="G33" s="5">
        <f>IFERROR(VLOOKUP(F33,DM_Giao_vien!$A$3:$H$102,2,FALSE),"")</f>
        <v/>
      </c>
      <c r="H33" s="5" t="n"/>
    </row>
    <row r="34">
      <c r="A34" s="5" t="n"/>
      <c r="B34" s="6" t="n"/>
      <c r="C34" s="5" t="n"/>
      <c r="D34" s="5" t="n"/>
      <c r="E34" s="5" t="n"/>
      <c r="F34" s="5" t="n"/>
      <c r="G34" s="5">
        <f>IFERROR(VLOOKUP(F34,DM_Giao_vien!$A$3:$H$102,2,FALSE),"")</f>
        <v/>
      </c>
      <c r="H34" s="5" t="n"/>
    </row>
    <row r="35">
      <c r="A35" s="5" t="n"/>
      <c r="B35" s="6" t="n"/>
      <c r="C35" s="5" t="n"/>
      <c r="D35" s="5" t="n"/>
      <c r="E35" s="5" t="n"/>
      <c r="F35" s="5" t="n"/>
      <c r="G35" s="5">
        <f>IFERROR(VLOOKUP(F35,DM_Giao_vien!$A$3:$H$102,2,FALSE),"")</f>
        <v/>
      </c>
      <c r="H35" s="5" t="n"/>
    </row>
    <row r="36">
      <c r="A36" s="5" t="n"/>
      <c r="B36" s="6" t="n"/>
      <c r="C36" s="5" t="n"/>
      <c r="D36" s="5" t="n"/>
      <c r="E36" s="5" t="n"/>
      <c r="F36" s="5" t="n"/>
      <c r="G36" s="5">
        <f>IFERROR(VLOOKUP(F36,DM_Giao_vien!$A$3:$H$102,2,FALSE),"")</f>
        <v/>
      </c>
      <c r="H36" s="5" t="n"/>
    </row>
    <row r="37">
      <c r="A37" s="5" t="n"/>
      <c r="B37" s="6" t="n"/>
      <c r="C37" s="5" t="n"/>
      <c r="D37" s="5" t="n"/>
      <c r="E37" s="5" t="n"/>
      <c r="F37" s="5" t="n"/>
      <c r="G37" s="5">
        <f>IFERROR(VLOOKUP(F37,DM_Giao_vien!$A$3:$H$102,2,FALSE),"")</f>
        <v/>
      </c>
      <c r="H37" s="5" t="n"/>
    </row>
    <row r="38">
      <c r="A38" s="5" t="n"/>
      <c r="B38" s="6" t="n"/>
      <c r="C38" s="5" t="n"/>
      <c r="D38" s="5" t="n"/>
      <c r="E38" s="5" t="n"/>
      <c r="F38" s="5" t="n"/>
      <c r="G38" s="5">
        <f>IFERROR(VLOOKUP(F38,DM_Giao_vien!$A$3:$H$102,2,FALSE),"")</f>
        <v/>
      </c>
      <c r="H38" s="5" t="n"/>
    </row>
    <row r="39">
      <c r="A39" s="5" t="n"/>
      <c r="B39" s="6" t="n"/>
      <c r="C39" s="5" t="n"/>
      <c r="D39" s="5" t="n"/>
      <c r="E39" s="5" t="n"/>
      <c r="F39" s="5" t="n"/>
      <c r="G39" s="5">
        <f>IFERROR(VLOOKUP(F39,DM_Giao_vien!$A$3:$H$102,2,FALSE),"")</f>
        <v/>
      </c>
      <c r="H39" s="5" t="n"/>
    </row>
    <row r="40">
      <c r="A40" s="5" t="n"/>
      <c r="B40" s="6" t="n"/>
      <c r="C40" s="5" t="n"/>
      <c r="D40" s="5" t="n"/>
      <c r="E40" s="5" t="n"/>
      <c r="F40" s="5" t="n"/>
      <c r="G40" s="5">
        <f>IFERROR(VLOOKUP(F40,DM_Giao_vien!$A$3:$H$102,2,FALSE),"")</f>
        <v/>
      </c>
      <c r="H40" s="5" t="n"/>
    </row>
    <row r="41">
      <c r="A41" s="5" t="n"/>
      <c r="B41" s="6" t="n"/>
      <c r="C41" s="5" t="n"/>
      <c r="D41" s="5" t="n"/>
      <c r="E41" s="5" t="n"/>
      <c r="F41" s="5" t="n"/>
      <c r="G41" s="5">
        <f>IFERROR(VLOOKUP(F41,DM_Giao_vien!$A$3:$H$102,2,FALSE),"")</f>
        <v/>
      </c>
      <c r="H41" s="5" t="n"/>
    </row>
    <row r="42">
      <c r="A42" s="5" t="n"/>
      <c r="B42" s="6" t="n"/>
      <c r="C42" s="5" t="n"/>
      <c r="D42" s="5" t="n"/>
      <c r="E42" s="5" t="n"/>
      <c r="F42" s="5" t="n"/>
      <c r="G42" s="5">
        <f>IFERROR(VLOOKUP(F42,DM_Giao_vien!$A$3:$H$102,2,FALSE),"")</f>
        <v/>
      </c>
      <c r="H42" s="5" t="n"/>
    </row>
    <row r="43">
      <c r="A43" s="5" t="n"/>
      <c r="B43" s="6" t="n"/>
      <c r="C43" s="5" t="n"/>
      <c r="D43" s="5" t="n"/>
      <c r="E43" s="5" t="n"/>
      <c r="F43" s="5" t="n"/>
      <c r="G43" s="5">
        <f>IFERROR(VLOOKUP(F43,DM_Giao_vien!$A$3:$H$102,2,FALSE),"")</f>
        <v/>
      </c>
      <c r="H43" s="5" t="n"/>
    </row>
    <row r="44">
      <c r="A44" s="5" t="n"/>
      <c r="B44" s="6" t="n"/>
      <c r="C44" s="5" t="n"/>
      <c r="D44" s="5" t="n"/>
      <c r="E44" s="5" t="n"/>
      <c r="F44" s="5" t="n"/>
      <c r="G44" s="5">
        <f>IFERROR(VLOOKUP(F44,DM_Giao_vien!$A$3:$H$102,2,FALSE),"")</f>
        <v/>
      </c>
      <c r="H44" s="5" t="n"/>
    </row>
    <row r="45">
      <c r="A45" s="5" t="n"/>
      <c r="B45" s="6" t="n"/>
      <c r="C45" s="5" t="n"/>
      <c r="D45" s="5" t="n"/>
      <c r="E45" s="5" t="n"/>
      <c r="F45" s="5" t="n"/>
      <c r="G45" s="5">
        <f>IFERROR(VLOOKUP(F45,DM_Giao_vien!$A$3:$H$102,2,FALSE),"")</f>
        <v/>
      </c>
      <c r="H45" s="5" t="n"/>
    </row>
    <row r="46">
      <c r="A46" s="5" t="n"/>
      <c r="B46" s="6" t="n"/>
      <c r="C46" s="5" t="n"/>
      <c r="D46" s="5" t="n"/>
      <c r="E46" s="5" t="n"/>
      <c r="F46" s="5" t="n"/>
      <c r="G46" s="5">
        <f>IFERROR(VLOOKUP(F46,DM_Giao_vien!$A$3:$H$102,2,FALSE),"")</f>
        <v/>
      </c>
      <c r="H46" s="5" t="n"/>
    </row>
    <row r="47">
      <c r="A47" s="5" t="n"/>
      <c r="B47" s="6" t="n"/>
      <c r="C47" s="5" t="n"/>
      <c r="D47" s="5" t="n"/>
      <c r="E47" s="5" t="n"/>
      <c r="F47" s="5" t="n"/>
      <c r="G47" s="5">
        <f>IFERROR(VLOOKUP(F47,DM_Giao_vien!$A$3:$H$102,2,FALSE),"")</f>
        <v/>
      </c>
      <c r="H47" s="5" t="n"/>
    </row>
    <row r="48">
      <c r="A48" s="5" t="n"/>
      <c r="B48" s="6" t="n"/>
      <c r="C48" s="5" t="n"/>
      <c r="D48" s="5" t="n"/>
      <c r="E48" s="5" t="n"/>
      <c r="F48" s="5" t="n"/>
      <c r="G48" s="5">
        <f>IFERROR(VLOOKUP(F48,DM_Giao_vien!$A$3:$H$102,2,FALSE),"")</f>
        <v/>
      </c>
      <c r="H48" s="5" t="n"/>
    </row>
    <row r="49">
      <c r="A49" s="5" t="n"/>
      <c r="B49" s="6" t="n"/>
      <c r="C49" s="5" t="n"/>
      <c r="D49" s="5" t="n"/>
      <c r="E49" s="5" t="n"/>
      <c r="F49" s="5" t="n"/>
      <c r="G49" s="5">
        <f>IFERROR(VLOOKUP(F49,DM_Giao_vien!$A$3:$H$102,2,FALSE),"")</f>
        <v/>
      </c>
      <c r="H49" s="5" t="n"/>
    </row>
    <row r="50">
      <c r="A50" s="5" t="n"/>
      <c r="B50" s="6" t="n"/>
      <c r="C50" s="5" t="n"/>
      <c r="D50" s="5" t="n"/>
      <c r="E50" s="5" t="n"/>
      <c r="F50" s="5" t="n"/>
      <c r="G50" s="5">
        <f>IFERROR(VLOOKUP(F50,DM_Giao_vien!$A$3:$H$102,2,FALSE),"")</f>
        <v/>
      </c>
      <c r="H50" s="5" t="n"/>
    </row>
    <row r="51">
      <c r="A51" s="5" t="n"/>
      <c r="B51" s="6" t="n"/>
      <c r="C51" s="5" t="n"/>
      <c r="D51" s="5" t="n"/>
      <c r="E51" s="5" t="n"/>
      <c r="F51" s="5" t="n"/>
      <c r="G51" s="5">
        <f>IFERROR(VLOOKUP(F51,DM_Giao_vien!$A$3:$H$102,2,FALSE),"")</f>
        <v/>
      </c>
      <c r="H51" s="5" t="n"/>
    </row>
    <row r="52">
      <c r="A52" s="5" t="n"/>
      <c r="B52" s="6" t="n"/>
      <c r="C52" s="5" t="n"/>
      <c r="D52" s="5" t="n"/>
      <c r="E52" s="5" t="n"/>
      <c r="F52" s="5" t="n"/>
      <c r="G52" s="5">
        <f>IFERROR(VLOOKUP(F52,DM_Giao_vien!$A$3:$H$102,2,FALSE),"")</f>
        <v/>
      </c>
      <c r="H52" s="5" t="n"/>
    </row>
    <row r="53">
      <c r="A53" s="5" t="n"/>
      <c r="B53" s="6" t="n"/>
      <c r="C53" s="5" t="n"/>
      <c r="D53" s="5" t="n"/>
      <c r="E53" s="5" t="n"/>
      <c r="F53" s="5" t="n"/>
      <c r="G53" s="5">
        <f>IFERROR(VLOOKUP(F53,DM_Giao_vien!$A$3:$H$102,2,FALSE),"")</f>
        <v/>
      </c>
      <c r="H53" s="5" t="n"/>
    </row>
    <row r="54">
      <c r="A54" s="5" t="n"/>
      <c r="B54" s="6" t="n"/>
      <c r="C54" s="5" t="n"/>
      <c r="D54" s="5" t="n"/>
      <c r="E54" s="5" t="n"/>
      <c r="F54" s="5" t="n"/>
      <c r="G54" s="5">
        <f>IFERROR(VLOOKUP(F54,DM_Giao_vien!$A$3:$H$102,2,FALSE),"")</f>
        <v/>
      </c>
      <c r="H54" s="5" t="n"/>
    </row>
    <row r="55">
      <c r="A55" s="5" t="n"/>
      <c r="B55" s="6" t="n"/>
      <c r="C55" s="5" t="n"/>
      <c r="D55" s="5" t="n"/>
      <c r="E55" s="5" t="n"/>
      <c r="F55" s="5" t="n"/>
      <c r="G55" s="5">
        <f>IFERROR(VLOOKUP(F55,DM_Giao_vien!$A$3:$H$102,2,FALSE),"")</f>
        <v/>
      </c>
      <c r="H55" s="5" t="n"/>
    </row>
    <row r="56">
      <c r="A56" s="5" t="n"/>
      <c r="B56" s="6" t="n"/>
      <c r="C56" s="5" t="n"/>
      <c r="D56" s="5" t="n"/>
      <c r="E56" s="5" t="n"/>
      <c r="F56" s="5" t="n"/>
      <c r="G56" s="5">
        <f>IFERROR(VLOOKUP(F56,DM_Giao_vien!$A$3:$H$102,2,FALSE),"")</f>
        <v/>
      </c>
      <c r="H56" s="5" t="n"/>
    </row>
    <row r="57">
      <c r="A57" s="5" t="n"/>
      <c r="B57" s="6" t="n"/>
      <c r="C57" s="5" t="n"/>
      <c r="D57" s="5" t="n"/>
      <c r="E57" s="5" t="n"/>
      <c r="F57" s="5" t="n"/>
      <c r="G57" s="5">
        <f>IFERROR(VLOOKUP(F57,DM_Giao_vien!$A$3:$H$102,2,FALSE),"")</f>
        <v/>
      </c>
      <c r="H57" s="5" t="n"/>
    </row>
    <row r="58">
      <c r="A58" s="5" t="n"/>
      <c r="B58" s="6" t="n"/>
      <c r="C58" s="5" t="n"/>
      <c r="D58" s="5" t="n"/>
      <c r="E58" s="5" t="n"/>
      <c r="F58" s="5" t="n"/>
      <c r="G58" s="5">
        <f>IFERROR(VLOOKUP(F58,DM_Giao_vien!$A$3:$H$102,2,FALSE),"")</f>
        <v/>
      </c>
      <c r="H58" s="5" t="n"/>
    </row>
    <row r="59">
      <c r="A59" s="5" t="n"/>
      <c r="B59" s="6" t="n"/>
      <c r="C59" s="5" t="n"/>
      <c r="D59" s="5" t="n"/>
      <c r="E59" s="5" t="n"/>
      <c r="F59" s="5" t="n"/>
      <c r="G59" s="5">
        <f>IFERROR(VLOOKUP(F59,DM_Giao_vien!$A$3:$H$102,2,FALSE),"")</f>
        <v/>
      </c>
      <c r="H59" s="5" t="n"/>
    </row>
    <row r="60">
      <c r="A60" s="5" t="n"/>
      <c r="B60" s="6" t="n"/>
      <c r="C60" s="5" t="n"/>
      <c r="D60" s="5" t="n"/>
      <c r="E60" s="5" t="n"/>
      <c r="F60" s="5" t="n"/>
      <c r="G60" s="5">
        <f>IFERROR(VLOOKUP(F60,DM_Giao_vien!$A$3:$H$102,2,FALSE),"")</f>
        <v/>
      </c>
      <c r="H60" s="5" t="n"/>
    </row>
    <row r="61">
      <c r="A61" s="5" t="n"/>
      <c r="B61" s="6" t="n"/>
      <c r="C61" s="5" t="n"/>
      <c r="D61" s="5" t="n"/>
      <c r="E61" s="5" t="n"/>
      <c r="F61" s="5" t="n"/>
      <c r="G61" s="5">
        <f>IFERROR(VLOOKUP(F61,DM_Giao_vien!$A$3:$H$102,2,FALSE),"")</f>
        <v/>
      </c>
      <c r="H61" s="5" t="n"/>
    </row>
    <row r="62">
      <c r="A62" s="5" t="n"/>
      <c r="B62" s="6" t="n"/>
      <c r="C62" s="5" t="n"/>
      <c r="D62" s="5" t="n"/>
      <c r="E62" s="5" t="n"/>
      <c r="F62" s="5" t="n"/>
      <c r="G62" s="5">
        <f>IFERROR(VLOOKUP(F62,DM_Giao_vien!$A$3:$H$102,2,FALSE),"")</f>
        <v/>
      </c>
      <c r="H62" s="5" t="n"/>
    </row>
    <row r="63">
      <c r="A63" s="5" t="n"/>
      <c r="B63" s="6" t="n"/>
      <c r="C63" s="5" t="n"/>
      <c r="D63" s="5" t="n"/>
      <c r="E63" s="5" t="n"/>
      <c r="F63" s="5" t="n"/>
      <c r="G63" s="5">
        <f>IFERROR(VLOOKUP(F63,DM_Giao_vien!$A$3:$H$102,2,FALSE),"")</f>
        <v/>
      </c>
      <c r="H63" s="5" t="n"/>
    </row>
    <row r="64">
      <c r="A64" s="5" t="n"/>
      <c r="B64" s="6" t="n"/>
      <c r="C64" s="5" t="n"/>
      <c r="D64" s="5" t="n"/>
      <c r="E64" s="5" t="n"/>
      <c r="F64" s="5" t="n"/>
      <c r="G64" s="5">
        <f>IFERROR(VLOOKUP(F64,DM_Giao_vien!$A$3:$H$102,2,FALSE),"")</f>
        <v/>
      </c>
      <c r="H64" s="5" t="n"/>
    </row>
    <row r="65">
      <c r="A65" s="5" t="n"/>
      <c r="B65" s="6" t="n"/>
      <c r="C65" s="5" t="n"/>
      <c r="D65" s="5" t="n"/>
      <c r="E65" s="5" t="n"/>
      <c r="F65" s="5" t="n"/>
      <c r="G65" s="5">
        <f>IFERROR(VLOOKUP(F65,DM_Giao_vien!$A$3:$H$102,2,FALSE),"")</f>
        <v/>
      </c>
      <c r="H65" s="5" t="n"/>
    </row>
    <row r="66">
      <c r="A66" s="5" t="n"/>
      <c r="B66" s="6" t="n"/>
      <c r="C66" s="5" t="n"/>
      <c r="D66" s="5" t="n"/>
      <c r="E66" s="5" t="n"/>
      <c r="F66" s="5" t="n"/>
      <c r="G66" s="5">
        <f>IFERROR(VLOOKUP(F66,DM_Giao_vien!$A$3:$H$102,2,FALSE),"")</f>
        <v/>
      </c>
      <c r="H66" s="5" t="n"/>
    </row>
    <row r="67">
      <c r="A67" s="5" t="n"/>
      <c r="B67" s="6" t="n"/>
      <c r="C67" s="5" t="n"/>
      <c r="D67" s="5" t="n"/>
      <c r="E67" s="5" t="n"/>
      <c r="F67" s="5" t="n"/>
      <c r="G67" s="5">
        <f>IFERROR(VLOOKUP(F67,DM_Giao_vien!$A$3:$H$102,2,FALSE),"")</f>
        <v/>
      </c>
      <c r="H67" s="5" t="n"/>
    </row>
    <row r="68">
      <c r="A68" s="5" t="n"/>
      <c r="B68" s="6" t="n"/>
      <c r="C68" s="5" t="n"/>
      <c r="D68" s="5" t="n"/>
      <c r="E68" s="5" t="n"/>
      <c r="F68" s="5" t="n"/>
      <c r="G68" s="5">
        <f>IFERROR(VLOOKUP(F68,DM_Giao_vien!$A$3:$H$102,2,FALSE),"")</f>
        <v/>
      </c>
      <c r="H68" s="5" t="n"/>
    </row>
    <row r="69">
      <c r="A69" s="5" t="n"/>
      <c r="B69" s="6" t="n"/>
      <c r="C69" s="5" t="n"/>
      <c r="D69" s="5" t="n"/>
      <c r="E69" s="5" t="n"/>
      <c r="F69" s="5" t="n"/>
      <c r="G69" s="5">
        <f>IFERROR(VLOOKUP(F69,DM_Giao_vien!$A$3:$H$102,2,FALSE),"")</f>
        <v/>
      </c>
      <c r="H69" s="5" t="n"/>
    </row>
    <row r="70">
      <c r="A70" s="5" t="n"/>
      <c r="B70" s="6" t="n"/>
      <c r="C70" s="5" t="n"/>
      <c r="D70" s="5" t="n"/>
      <c r="E70" s="5" t="n"/>
      <c r="F70" s="5" t="n"/>
      <c r="G70" s="5">
        <f>IFERROR(VLOOKUP(F70,DM_Giao_vien!$A$3:$H$102,2,FALSE),"")</f>
        <v/>
      </c>
      <c r="H70" s="5" t="n"/>
    </row>
    <row r="71">
      <c r="A71" s="5" t="n"/>
      <c r="B71" s="6" t="n"/>
      <c r="C71" s="5" t="n"/>
      <c r="D71" s="5" t="n"/>
      <c r="E71" s="5" t="n"/>
      <c r="F71" s="5" t="n"/>
      <c r="G71" s="5">
        <f>IFERROR(VLOOKUP(F71,DM_Giao_vien!$A$3:$H$102,2,FALSE),"")</f>
        <v/>
      </c>
      <c r="H71" s="5" t="n"/>
    </row>
    <row r="72">
      <c r="A72" s="5" t="n"/>
      <c r="B72" s="6" t="n"/>
      <c r="C72" s="5" t="n"/>
      <c r="D72" s="5" t="n"/>
      <c r="E72" s="5" t="n"/>
      <c r="F72" s="5" t="n"/>
      <c r="G72" s="5">
        <f>IFERROR(VLOOKUP(F72,DM_Giao_vien!$A$3:$H$102,2,FALSE),"")</f>
        <v/>
      </c>
      <c r="H72" s="5" t="n"/>
    </row>
    <row r="73">
      <c r="A73" s="5" t="n"/>
      <c r="B73" s="6" t="n"/>
      <c r="C73" s="5" t="n"/>
      <c r="D73" s="5" t="n"/>
      <c r="E73" s="5" t="n"/>
      <c r="F73" s="5" t="n"/>
      <c r="G73" s="5">
        <f>IFERROR(VLOOKUP(F73,DM_Giao_vien!$A$3:$H$102,2,FALSE),"")</f>
        <v/>
      </c>
      <c r="H73" s="5" t="n"/>
    </row>
    <row r="74">
      <c r="A74" s="5" t="n"/>
      <c r="B74" s="6" t="n"/>
      <c r="C74" s="5" t="n"/>
      <c r="D74" s="5" t="n"/>
      <c r="E74" s="5" t="n"/>
      <c r="F74" s="5" t="n"/>
      <c r="G74" s="5">
        <f>IFERROR(VLOOKUP(F74,DM_Giao_vien!$A$3:$H$102,2,FALSE),"")</f>
        <v/>
      </c>
      <c r="H74" s="5" t="n"/>
    </row>
    <row r="75">
      <c r="A75" s="5" t="n"/>
      <c r="B75" s="6" t="n"/>
      <c r="C75" s="5" t="n"/>
      <c r="D75" s="5" t="n"/>
      <c r="E75" s="5" t="n"/>
      <c r="F75" s="5" t="n"/>
      <c r="G75" s="5">
        <f>IFERROR(VLOOKUP(F75,DM_Giao_vien!$A$3:$H$102,2,FALSE),"")</f>
        <v/>
      </c>
      <c r="H75" s="5" t="n"/>
    </row>
    <row r="76">
      <c r="A76" s="5" t="n"/>
      <c r="B76" s="6" t="n"/>
      <c r="C76" s="5" t="n"/>
      <c r="D76" s="5" t="n"/>
      <c r="E76" s="5" t="n"/>
      <c r="F76" s="5" t="n"/>
      <c r="G76" s="5">
        <f>IFERROR(VLOOKUP(F76,DM_Giao_vien!$A$3:$H$102,2,FALSE),"")</f>
        <v/>
      </c>
      <c r="H76" s="5" t="n"/>
    </row>
    <row r="77">
      <c r="A77" s="5" t="n"/>
      <c r="B77" s="6" t="n"/>
      <c r="C77" s="5" t="n"/>
      <c r="D77" s="5" t="n"/>
      <c r="E77" s="5" t="n"/>
      <c r="F77" s="5" t="n"/>
      <c r="G77" s="5">
        <f>IFERROR(VLOOKUP(F77,DM_Giao_vien!$A$3:$H$102,2,FALSE),"")</f>
        <v/>
      </c>
      <c r="H77" s="5" t="n"/>
    </row>
    <row r="78">
      <c r="A78" s="5" t="n"/>
      <c r="B78" s="6" t="n"/>
      <c r="C78" s="5" t="n"/>
      <c r="D78" s="5" t="n"/>
      <c r="E78" s="5" t="n"/>
      <c r="F78" s="5" t="n"/>
      <c r="G78" s="5">
        <f>IFERROR(VLOOKUP(F78,DM_Giao_vien!$A$3:$H$102,2,FALSE),"")</f>
        <v/>
      </c>
      <c r="H78" s="5" t="n"/>
    </row>
    <row r="79">
      <c r="A79" s="5" t="n"/>
      <c r="B79" s="6" t="n"/>
      <c r="C79" s="5" t="n"/>
      <c r="D79" s="5" t="n"/>
      <c r="E79" s="5" t="n"/>
      <c r="F79" s="5" t="n"/>
      <c r="G79" s="5">
        <f>IFERROR(VLOOKUP(F79,DM_Giao_vien!$A$3:$H$102,2,FALSE),"")</f>
        <v/>
      </c>
      <c r="H79" s="5" t="n"/>
    </row>
    <row r="80">
      <c r="A80" s="5" t="n"/>
      <c r="B80" s="6" t="n"/>
      <c r="C80" s="5" t="n"/>
      <c r="D80" s="5" t="n"/>
      <c r="E80" s="5" t="n"/>
      <c r="F80" s="5" t="n"/>
      <c r="G80" s="5">
        <f>IFERROR(VLOOKUP(F80,DM_Giao_vien!$A$3:$H$102,2,FALSE),"")</f>
        <v/>
      </c>
      <c r="H80" s="5" t="n"/>
    </row>
    <row r="81">
      <c r="A81" s="5" t="n"/>
      <c r="B81" s="6" t="n"/>
      <c r="C81" s="5" t="n"/>
      <c r="D81" s="5" t="n"/>
      <c r="E81" s="5" t="n"/>
      <c r="F81" s="5" t="n"/>
      <c r="G81" s="5">
        <f>IFERROR(VLOOKUP(F81,DM_Giao_vien!$A$3:$H$102,2,FALSE),"")</f>
        <v/>
      </c>
      <c r="H81" s="5" t="n"/>
    </row>
    <row r="82">
      <c r="A82" s="5" t="n"/>
      <c r="B82" s="6" t="n"/>
      <c r="C82" s="5" t="n"/>
      <c r="D82" s="5" t="n"/>
      <c r="E82" s="5" t="n"/>
      <c r="F82" s="5" t="n"/>
      <c r="G82" s="5">
        <f>IFERROR(VLOOKUP(F82,DM_Giao_vien!$A$3:$H$102,2,FALSE),"")</f>
        <v/>
      </c>
      <c r="H82" s="5" t="n"/>
    </row>
    <row r="83">
      <c r="A83" s="5" t="n"/>
      <c r="B83" s="6" t="n"/>
      <c r="C83" s="5" t="n"/>
      <c r="D83" s="5" t="n"/>
      <c r="E83" s="5" t="n"/>
      <c r="F83" s="5" t="n"/>
      <c r="G83" s="5">
        <f>IFERROR(VLOOKUP(F83,DM_Giao_vien!$A$3:$H$102,2,FALSE),"")</f>
        <v/>
      </c>
      <c r="H83" s="5" t="n"/>
    </row>
    <row r="84">
      <c r="A84" s="5" t="n"/>
      <c r="B84" s="6" t="n"/>
      <c r="C84" s="5" t="n"/>
      <c r="D84" s="5" t="n"/>
      <c r="E84" s="5" t="n"/>
      <c r="F84" s="5" t="n"/>
      <c r="G84" s="5">
        <f>IFERROR(VLOOKUP(F84,DM_Giao_vien!$A$3:$H$102,2,FALSE),"")</f>
        <v/>
      </c>
      <c r="H84" s="5" t="n"/>
    </row>
    <row r="85">
      <c r="A85" s="5" t="n"/>
      <c r="B85" s="6" t="n"/>
      <c r="C85" s="5" t="n"/>
      <c r="D85" s="5" t="n"/>
      <c r="E85" s="5" t="n"/>
      <c r="F85" s="5" t="n"/>
      <c r="G85" s="5">
        <f>IFERROR(VLOOKUP(F85,DM_Giao_vien!$A$3:$H$102,2,FALSE),"")</f>
        <v/>
      </c>
      <c r="H85" s="5" t="n"/>
    </row>
    <row r="86">
      <c r="A86" s="5" t="n"/>
      <c r="B86" s="6" t="n"/>
      <c r="C86" s="5" t="n"/>
      <c r="D86" s="5" t="n"/>
      <c r="E86" s="5" t="n"/>
      <c r="F86" s="5" t="n"/>
      <c r="G86" s="5">
        <f>IFERROR(VLOOKUP(F86,DM_Giao_vien!$A$3:$H$102,2,FALSE),"")</f>
        <v/>
      </c>
      <c r="H86" s="5" t="n"/>
    </row>
    <row r="87">
      <c r="A87" s="5" t="n"/>
      <c r="B87" s="6" t="n"/>
      <c r="C87" s="5" t="n"/>
      <c r="D87" s="5" t="n"/>
      <c r="E87" s="5" t="n"/>
      <c r="F87" s="5" t="n"/>
      <c r="G87" s="5">
        <f>IFERROR(VLOOKUP(F87,DM_Giao_vien!$A$3:$H$102,2,FALSE),"")</f>
        <v/>
      </c>
      <c r="H87" s="5" t="n"/>
    </row>
    <row r="88">
      <c r="A88" s="5" t="n"/>
      <c r="B88" s="6" t="n"/>
      <c r="C88" s="5" t="n"/>
      <c r="D88" s="5" t="n"/>
      <c r="E88" s="5" t="n"/>
      <c r="F88" s="5" t="n"/>
      <c r="G88" s="5">
        <f>IFERROR(VLOOKUP(F88,DM_Giao_vien!$A$3:$H$102,2,FALSE),"")</f>
        <v/>
      </c>
      <c r="H88" s="5" t="n"/>
    </row>
    <row r="89">
      <c r="A89" s="5" t="n"/>
      <c r="B89" s="6" t="n"/>
      <c r="C89" s="5" t="n"/>
      <c r="D89" s="5" t="n"/>
      <c r="E89" s="5" t="n"/>
      <c r="F89" s="5" t="n"/>
      <c r="G89" s="5">
        <f>IFERROR(VLOOKUP(F89,DM_Giao_vien!$A$3:$H$102,2,FALSE),"")</f>
        <v/>
      </c>
      <c r="H89" s="5" t="n"/>
    </row>
    <row r="90">
      <c r="A90" s="5" t="n"/>
      <c r="B90" s="6" t="n"/>
      <c r="C90" s="5" t="n"/>
      <c r="D90" s="5" t="n"/>
      <c r="E90" s="5" t="n"/>
      <c r="F90" s="5" t="n"/>
      <c r="G90" s="5">
        <f>IFERROR(VLOOKUP(F90,DM_Giao_vien!$A$3:$H$102,2,FALSE),"")</f>
        <v/>
      </c>
      <c r="H90" s="5" t="n"/>
    </row>
    <row r="91">
      <c r="A91" s="5" t="n"/>
      <c r="B91" s="6" t="n"/>
      <c r="C91" s="5" t="n"/>
      <c r="D91" s="5" t="n"/>
      <c r="E91" s="5" t="n"/>
      <c r="F91" s="5" t="n"/>
      <c r="G91" s="5">
        <f>IFERROR(VLOOKUP(F91,DM_Giao_vien!$A$3:$H$102,2,FALSE),"")</f>
        <v/>
      </c>
      <c r="H91" s="5" t="n"/>
    </row>
    <row r="92">
      <c r="A92" s="5" t="n"/>
      <c r="B92" s="6" t="n"/>
      <c r="C92" s="5" t="n"/>
      <c r="D92" s="5" t="n"/>
      <c r="E92" s="5" t="n"/>
      <c r="F92" s="5" t="n"/>
      <c r="G92" s="5">
        <f>IFERROR(VLOOKUP(F92,DM_Giao_vien!$A$3:$H$102,2,FALSE),"")</f>
        <v/>
      </c>
      <c r="H92" s="5" t="n"/>
    </row>
    <row r="93">
      <c r="A93" s="5" t="n"/>
      <c r="B93" s="6" t="n"/>
      <c r="C93" s="5" t="n"/>
      <c r="D93" s="5" t="n"/>
      <c r="E93" s="5" t="n"/>
      <c r="F93" s="5" t="n"/>
      <c r="G93" s="5">
        <f>IFERROR(VLOOKUP(F93,DM_Giao_vien!$A$3:$H$102,2,FALSE),"")</f>
        <v/>
      </c>
      <c r="H93" s="5" t="n"/>
    </row>
    <row r="94">
      <c r="A94" s="5" t="n"/>
      <c r="B94" s="6" t="n"/>
      <c r="C94" s="5" t="n"/>
      <c r="D94" s="5" t="n"/>
      <c r="E94" s="5" t="n"/>
      <c r="F94" s="5" t="n"/>
      <c r="G94" s="5">
        <f>IFERROR(VLOOKUP(F94,DM_Giao_vien!$A$3:$H$102,2,FALSE),"")</f>
        <v/>
      </c>
      <c r="H94" s="5" t="n"/>
    </row>
    <row r="95">
      <c r="A95" s="5" t="n"/>
      <c r="B95" s="6" t="n"/>
      <c r="C95" s="5" t="n"/>
      <c r="D95" s="5" t="n"/>
      <c r="E95" s="5" t="n"/>
      <c r="F95" s="5" t="n"/>
      <c r="G95" s="5">
        <f>IFERROR(VLOOKUP(F95,DM_Giao_vien!$A$3:$H$102,2,FALSE),"")</f>
        <v/>
      </c>
      <c r="H95" s="5" t="n"/>
    </row>
    <row r="96">
      <c r="A96" s="5" t="n"/>
      <c r="B96" s="6" t="n"/>
      <c r="C96" s="5" t="n"/>
      <c r="D96" s="5" t="n"/>
      <c r="E96" s="5" t="n"/>
      <c r="F96" s="5" t="n"/>
      <c r="G96" s="5">
        <f>IFERROR(VLOOKUP(F96,DM_Giao_vien!$A$3:$H$102,2,FALSE),"")</f>
        <v/>
      </c>
      <c r="H96" s="5" t="n"/>
    </row>
    <row r="97">
      <c r="A97" s="5" t="n"/>
      <c r="B97" s="6" t="n"/>
      <c r="C97" s="5" t="n"/>
      <c r="D97" s="5" t="n"/>
      <c r="E97" s="5" t="n"/>
      <c r="F97" s="5" t="n"/>
      <c r="G97" s="5">
        <f>IFERROR(VLOOKUP(F97,DM_Giao_vien!$A$3:$H$102,2,FALSE),"")</f>
        <v/>
      </c>
      <c r="H97" s="5" t="n"/>
    </row>
    <row r="98">
      <c r="A98" s="5" t="n"/>
      <c r="B98" s="6" t="n"/>
      <c r="C98" s="5" t="n"/>
      <c r="D98" s="5" t="n"/>
      <c r="E98" s="5" t="n"/>
      <c r="F98" s="5" t="n"/>
      <c r="G98" s="5">
        <f>IFERROR(VLOOKUP(F98,DM_Giao_vien!$A$3:$H$102,2,FALSE),"")</f>
        <v/>
      </c>
      <c r="H98" s="5" t="n"/>
    </row>
    <row r="99">
      <c r="A99" s="5" t="n"/>
      <c r="B99" s="6" t="n"/>
      <c r="C99" s="5" t="n"/>
      <c r="D99" s="5" t="n"/>
      <c r="E99" s="5" t="n"/>
      <c r="F99" s="5" t="n"/>
      <c r="G99" s="5">
        <f>IFERROR(VLOOKUP(F99,DM_Giao_vien!$A$3:$H$102,2,FALSE),"")</f>
        <v/>
      </c>
      <c r="H99" s="5" t="n"/>
    </row>
    <row r="100">
      <c r="A100" s="5" t="n"/>
      <c r="B100" s="6" t="n"/>
      <c r="C100" s="5" t="n"/>
      <c r="D100" s="5" t="n"/>
      <c r="E100" s="5" t="n"/>
      <c r="F100" s="5" t="n"/>
      <c r="G100" s="5">
        <f>IFERROR(VLOOKUP(F100,DM_Giao_vien!$A$3:$H$102,2,FALSE),"")</f>
        <v/>
      </c>
      <c r="H100" s="5" t="n"/>
    </row>
    <row r="101">
      <c r="A101" s="5" t="n"/>
      <c r="B101" s="6" t="n"/>
      <c r="C101" s="5" t="n"/>
      <c r="D101" s="5" t="n"/>
      <c r="E101" s="5" t="n"/>
      <c r="F101" s="5" t="n"/>
      <c r="G101" s="5">
        <f>IFERROR(VLOOKUP(F101,DM_Giao_vien!$A$3:$H$102,2,FALSE),"")</f>
        <v/>
      </c>
      <c r="H101" s="5" t="n"/>
    </row>
    <row r="102">
      <c r="A102" s="5" t="n"/>
      <c r="B102" s="6" t="n"/>
      <c r="C102" s="5" t="n"/>
      <c r="D102" s="5" t="n"/>
      <c r="E102" s="5" t="n"/>
      <c r="F102" s="5" t="n"/>
      <c r="G102" s="5">
        <f>IFERROR(VLOOKUP(F102,DM_Giao_vien!$A$3:$H$102,2,FALSE),"")</f>
        <v/>
      </c>
      <c r="H102" s="5" t="n"/>
    </row>
  </sheetData>
  <mergeCells count="1">
    <mergeCell ref="A1:H1"/>
  </mergeCells>
  <dataValidations count="4">
    <dataValidation sqref="B3:B102 C3:C302" showDropDown="0" showInputMessage="0" showErrorMessage="0" allowBlank="1" type="list">
      <formula1>"10,11,12"</formula1>
    </dataValidation>
    <dataValidation sqref="D3:D102" showDropDown="0" showInputMessage="0" showErrorMessage="0" allowBlank="1" type="list">
      <formula1>"Sang,Chieu,Ca_ngay"</formula1>
    </dataValidation>
    <dataValidation sqref="F3:F102 L3:L302 O3:O302" showDropDown="0" showInputMessage="0" showErrorMessage="0" allowBlank="1" type="list">
      <formula1>=DM_Giao_vien!$A$3:$A$102</formula1>
    </dataValidation>
    <dataValidation sqref="E3:E102 E3:E302" showDropDown="0" showInputMessage="0" showErrorMessage="0" allowBlank="1" type="list">
      <formula1>=DM_To_hop!$A$3:$A$52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30" customWidth="1" min="10" max="10"/>
  </cols>
  <sheetData>
    <row r="1">
      <c r="A1" s="3" t="inlineStr">
        <is>
          <t>Danh muc to hop mon lua chon va cum chuyen de (mau tham khao)</t>
        </is>
      </c>
    </row>
    <row r="2">
      <c r="A2" s="4" t="inlineStr">
        <is>
          <t>Ma_to_hop</t>
        </is>
      </c>
      <c r="B2" s="4" t="inlineStr">
        <is>
          <t>Khoi_ap_dung</t>
        </is>
      </c>
      <c r="C2" s="4" t="inlineStr">
        <is>
          <t>Mon_lua_chon_1</t>
        </is>
      </c>
      <c r="D2" s="4" t="inlineStr">
        <is>
          <t>Mon_lua_chon_2</t>
        </is>
      </c>
      <c r="E2" s="4" t="inlineStr">
        <is>
          <t>Mon_lua_chon_3</t>
        </is>
      </c>
      <c r="F2" s="4" t="inlineStr">
        <is>
          <t>Mon_lua_chon_4</t>
        </is>
      </c>
      <c r="G2" s="4" t="inlineStr">
        <is>
          <t>Cum_CD_1</t>
        </is>
      </c>
      <c r="H2" s="4" t="inlineStr">
        <is>
          <t>Cum_CD_2</t>
        </is>
      </c>
      <c r="I2" s="4" t="inlineStr">
        <is>
          <t>Cum_CD_3</t>
        </is>
      </c>
      <c r="J2" s="4" t="inlineStr">
        <is>
          <t>Ghi_chu</t>
        </is>
      </c>
    </row>
    <row r="3">
      <c r="A3" s="5" t="inlineStr">
        <is>
          <t>TH1</t>
        </is>
      </c>
      <c r="B3" s="5" t="n">
        <v>10</v>
      </c>
      <c r="C3" s="5" t="inlineStr">
        <is>
          <t>VL</t>
        </is>
      </c>
      <c r="D3" s="5" t="inlineStr">
        <is>
          <t>HH</t>
        </is>
      </c>
      <c r="E3" s="5" t="inlineStr">
        <is>
          <t>SH</t>
        </is>
      </c>
      <c r="F3" s="5" t="inlineStr">
        <is>
          <t>TH</t>
        </is>
      </c>
      <c r="G3" s="5" t="inlineStr">
        <is>
          <t>TOAN</t>
        </is>
      </c>
      <c r="H3" s="5" t="inlineStr">
        <is>
          <t>VL</t>
        </is>
      </c>
      <c r="I3" s="5" t="inlineStr">
        <is>
          <t>HH</t>
        </is>
      </c>
      <c r="J3" s="6" t="inlineStr">
        <is>
          <t>Mau thien ve KHTN</t>
        </is>
      </c>
    </row>
    <row r="4">
      <c r="A4" s="5" t="inlineStr">
        <is>
          <t>TH2</t>
        </is>
      </c>
      <c r="B4" s="5" t="n">
        <v>10</v>
      </c>
      <c r="C4" s="5" t="inlineStr">
        <is>
          <t>VL</t>
        </is>
      </c>
      <c r="D4" s="5" t="inlineStr">
        <is>
          <t>HH</t>
        </is>
      </c>
      <c r="E4" s="5" t="inlineStr">
        <is>
          <t>TH</t>
        </is>
      </c>
      <c r="F4" s="5" t="inlineStr">
        <is>
          <t>GDKTPL</t>
        </is>
      </c>
      <c r="G4" s="5" t="inlineStr">
        <is>
          <t>TOAN</t>
        </is>
      </c>
      <c r="H4" s="5" t="inlineStr">
        <is>
          <t>NV</t>
        </is>
      </c>
      <c r="I4" s="5" t="inlineStr">
        <is>
          <t>VL</t>
        </is>
      </c>
      <c r="J4" s="6" t="inlineStr">
        <is>
          <t>Mau lai khoa hoc - cong nghe</t>
        </is>
      </c>
    </row>
    <row r="5">
      <c r="A5" s="5" t="inlineStr">
        <is>
          <t>TH3</t>
        </is>
      </c>
      <c r="B5" s="5" t="n">
        <v>10</v>
      </c>
      <c r="C5" s="5" t="inlineStr">
        <is>
          <t>DL</t>
        </is>
      </c>
      <c r="D5" s="5" t="inlineStr">
        <is>
          <t>GDKTPL</t>
        </is>
      </c>
      <c r="E5" s="5" t="inlineStr">
        <is>
          <t>TH</t>
        </is>
      </c>
      <c r="F5" s="5" t="inlineStr">
        <is>
          <t>CN</t>
        </is>
      </c>
      <c r="G5" s="5" t="inlineStr">
        <is>
          <t>NV</t>
        </is>
      </c>
      <c r="H5" s="5" t="inlineStr">
        <is>
          <t>DL</t>
        </is>
      </c>
      <c r="I5" s="5" t="inlineStr">
        <is>
          <t>GDKTPL</t>
        </is>
      </c>
      <c r="J5" s="6" t="inlineStr">
        <is>
          <t>Mau KHXH / kinh te / cong nghe</t>
        </is>
      </c>
    </row>
    <row r="6">
      <c r="A6" s="5" t="inlineStr">
        <is>
          <t>TH4</t>
        </is>
      </c>
      <c r="B6" s="5" t="n">
        <v>10</v>
      </c>
      <c r="C6" s="5" t="inlineStr">
        <is>
          <t>DL</t>
        </is>
      </c>
      <c r="D6" s="5" t="inlineStr">
        <is>
          <t>GDKTPL</t>
        </is>
      </c>
      <c r="E6" s="5" t="inlineStr">
        <is>
          <t>AN</t>
        </is>
      </c>
      <c r="F6" s="5" t="inlineStr">
        <is>
          <t>MT</t>
        </is>
      </c>
      <c r="G6" s="5" t="inlineStr">
        <is>
          <t>NV</t>
        </is>
      </c>
      <c r="H6" s="5" t="inlineStr">
        <is>
          <t>DL</t>
        </is>
      </c>
      <c r="I6" s="5" t="inlineStr">
        <is>
          <t>MT</t>
        </is>
      </c>
      <c r="J6" s="6" t="inlineStr">
        <is>
          <t>Mau nghe thuat - xa hoi</t>
        </is>
      </c>
    </row>
    <row r="7">
      <c r="A7" s="5" t="inlineStr">
        <is>
          <t>TH5</t>
        </is>
      </c>
      <c r="B7" s="5" t="n">
        <v>11</v>
      </c>
      <c r="C7" s="5" t="inlineStr">
        <is>
          <t>VL</t>
        </is>
      </c>
      <c r="D7" s="5" t="inlineStr">
        <is>
          <t>HH</t>
        </is>
      </c>
      <c r="E7" s="5" t="inlineStr">
        <is>
          <t>CN</t>
        </is>
      </c>
      <c r="F7" s="5" t="inlineStr">
        <is>
          <t>TH</t>
        </is>
      </c>
      <c r="G7" s="5" t="inlineStr">
        <is>
          <t>TOAN</t>
        </is>
      </c>
      <c r="H7" s="5" t="inlineStr">
        <is>
          <t>VL</t>
        </is>
      </c>
      <c r="I7" s="5" t="inlineStr">
        <is>
          <t>CN</t>
        </is>
      </c>
      <c r="J7" s="6" t="inlineStr">
        <is>
          <t>Mau lop 11 co cong nghe</t>
        </is>
      </c>
    </row>
    <row r="8">
      <c r="A8" s="5" t="inlineStr">
        <is>
          <t>TH6</t>
        </is>
      </c>
      <c r="B8" s="5" t="n">
        <v>12</v>
      </c>
      <c r="C8" s="5" t="inlineStr">
        <is>
          <t>DL</t>
        </is>
      </c>
      <c r="D8" s="5" t="inlineStr">
        <is>
          <t>GDKTPL</t>
        </is>
      </c>
      <c r="E8" s="5" t="inlineStr">
        <is>
          <t>TH</t>
        </is>
      </c>
      <c r="F8" s="5" t="inlineStr">
        <is>
          <t>CN</t>
        </is>
      </c>
      <c r="G8" s="5" t="inlineStr">
        <is>
          <t>NV</t>
        </is>
      </c>
      <c r="H8" s="5" t="inlineStr">
        <is>
          <t>DL</t>
        </is>
      </c>
      <c r="I8" s="5" t="inlineStr">
        <is>
          <t>GDKTPL</t>
        </is>
      </c>
      <c r="J8" s="6" t="inlineStr">
        <is>
          <t>Mau lop 12 dinh huong xa hoi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6" t="n"/>
    </row>
  </sheetData>
  <mergeCells count="1">
    <mergeCell ref="A1:J1"/>
  </mergeCells>
  <dataValidations count="1">
    <dataValidation sqref="B3:B102 C3:C302" showDropDown="0" showInputMessage="0" showErrorMessage="0" allowBlank="1" type="list">
      <formula1>"10,11,12"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2" customWidth="1" min="4" max="4"/>
    <col width="12" customWidth="1" min="5" max="5"/>
    <col width="12" customWidth="1" min="6" max="6"/>
    <col width="28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22" customWidth="1" min="13" max="13"/>
    <col width="14" customWidth="1" min="14" max="14"/>
    <col width="12" customWidth="1" min="15" max="15"/>
    <col width="22" customWidth="1" min="16" max="16"/>
    <col width="14" customWidth="1" min="17" max="17"/>
    <col width="28" customWidth="1" min="18" max="18"/>
  </cols>
  <sheetData>
    <row r="1">
      <c r="A1" s="3" t="inlineStr">
        <is>
          <t>Bang phan cong giang day mon hoc - giao vien THPT</t>
        </is>
      </c>
    </row>
    <row r="2">
      <c r="A2" s="4" t="inlineStr">
        <is>
          <t>STT</t>
        </is>
      </c>
      <c r="B2" s="4" t="inlineStr">
        <is>
          <t>Nam_hoc</t>
        </is>
      </c>
      <c r="C2" s="4" t="inlineStr">
        <is>
          <t>Khoi</t>
        </is>
      </c>
      <c r="D2" s="4" t="inlineStr">
        <is>
          <t>Lop</t>
        </is>
      </c>
      <c r="E2" s="4" t="inlineStr">
        <is>
          <t>Ma_to_hop</t>
        </is>
      </c>
      <c r="F2" s="4" t="inlineStr">
        <is>
          <t>Ma_mon</t>
        </is>
      </c>
      <c r="G2" s="4" t="inlineStr">
        <is>
          <t>Ten_mon</t>
        </is>
      </c>
      <c r="H2" s="4" t="inlineStr">
        <is>
          <t>Nhom_CT</t>
        </is>
      </c>
      <c r="I2" s="4" t="inlineStr">
        <is>
          <t>Tiet_nam_CT</t>
        </is>
      </c>
      <c r="J2" s="4" t="inlineStr">
        <is>
          <t>Tiet_HK1</t>
        </is>
      </c>
      <c r="K2" s="4" t="inlineStr">
        <is>
          <t>Tiet_HK2</t>
        </is>
      </c>
      <c r="L2" s="4" t="inlineStr">
        <is>
          <t>GV_HK1_Ma</t>
        </is>
      </c>
      <c r="M2" s="4" t="inlineStr">
        <is>
          <t>GV_HK1_Ho_ten</t>
        </is>
      </c>
      <c r="N2" s="4" t="inlineStr">
        <is>
          <t>GV_HK1_Dinh_muc</t>
        </is>
      </c>
      <c r="O2" s="4" t="inlineStr">
        <is>
          <t>GV_HK2_Ma</t>
        </is>
      </c>
      <c r="P2" s="4" t="inlineStr">
        <is>
          <t>GV_HK2_Ho_ten</t>
        </is>
      </c>
      <c r="Q2" s="4" t="inlineStr">
        <is>
          <t>GV_HK2_Dinh_muc</t>
        </is>
      </c>
      <c r="R2" s="4" t="inlineStr">
        <is>
          <t>Ghi_chu</t>
        </is>
      </c>
    </row>
    <row r="3">
      <c r="A3" s="5" t="n">
        <v>1</v>
      </c>
      <c r="B3" s="6">
        <f>IF(D3="","",Huong_dan!$B$6)</f>
        <v/>
      </c>
      <c r="C3" s="5" t="n"/>
      <c r="D3" s="5" t="n"/>
      <c r="E3" s="5" t="n"/>
      <c r="F3" s="5" t="n"/>
      <c r="G3" s="5">
        <f>IFERROR(VLOOKUP(F3,DM_Mon_GDPT2018!$A$3:$G$20,2,FALSE),"")</f>
        <v/>
      </c>
      <c r="H3" s="5">
        <f>IFERROR(VLOOKUP(F3,DM_Mon_GDPT2018!$A$3:$G$20,3,FALSE),"")</f>
        <v/>
      </c>
      <c r="I3" s="5">
        <f>IFERROR(VLOOKUP(F3,DM_Mon_GDPT2018!$A$3:$G$20,5,FALSE),"")</f>
        <v/>
      </c>
      <c r="J3" s="6">
        <f>IF($I3="","",ROUND($I3*Huong_dan!$B$7/Huong_dan!$B$9,0))</f>
        <v/>
      </c>
      <c r="K3" s="6">
        <f>IF($I3="","",$I3-$J3)</f>
        <v/>
      </c>
      <c r="L3" s="6" t="n"/>
      <c r="M3" s="6">
        <f>IFERROR(VLOOKUP(L3,DM_Giao_vien!$A$3:$H$102,2,FALSE),"")</f>
        <v/>
      </c>
      <c r="N3" s="6">
        <f>IFERROR(VLOOKUP(L3,DM_Giao_vien!$A$3:$H$102,8,FALSE),"")</f>
        <v/>
      </c>
      <c r="O3" s="6" t="n"/>
      <c r="P3" s="6">
        <f>IFERROR(VLOOKUP(O3,DM_Giao_vien!$A$3:$H$102,2,FALSE),"")</f>
        <v/>
      </c>
      <c r="Q3" s="6">
        <f>IFERROR(VLOOKUP(O3,DM_Giao_vien!$A$3:$H$102,8,FALSE),"")</f>
        <v/>
      </c>
      <c r="R3" s="6" t="n"/>
    </row>
    <row r="4">
      <c r="A4" s="5" t="n">
        <v>2</v>
      </c>
      <c r="B4" s="6">
        <f>IF(D4="","",Huong_dan!$B$6)</f>
        <v/>
      </c>
      <c r="C4" s="5" t="n"/>
      <c r="D4" s="5" t="n"/>
      <c r="E4" s="5" t="n"/>
      <c r="F4" s="5" t="n"/>
      <c r="G4" s="5">
        <f>IFERROR(VLOOKUP(F4,DM_Mon_GDPT2018!$A$3:$G$20,2,FALSE),"")</f>
        <v/>
      </c>
      <c r="H4" s="5">
        <f>IFERROR(VLOOKUP(F4,DM_Mon_GDPT2018!$A$3:$G$20,3,FALSE),"")</f>
        <v/>
      </c>
      <c r="I4" s="5">
        <f>IFERROR(VLOOKUP(F4,DM_Mon_GDPT2018!$A$3:$G$20,5,FALSE),"")</f>
        <v/>
      </c>
      <c r="J4" s="6">
        <f>IF($I4="","",ROUND($I4*Huong_dan!$B$7/Huong_dan!$B$9,0))</f>
        <v/>
      </c>
      <c r="K4" s="6">
        <f>IF($I4="","",$I4-$J4)</f>
        <v/>
      </c>
      <c r="L4" s="6" t="n"/>
      <c r="M4" s="6">
        <f>IFERROR(VLOOKUP(L4,DM_Giao_vien!$A$3:$H$102,2,FALSE),"")</f>
        <v/>
      </c>
      <c r="N4" s="6">
        <f>IFERROR(VLOOKUP(L4,DM_Giao_vien!$A$3:$H$102,8,FALSE),"")</f>
        <v/>
      </c>
      <c r="O4" s="6" t="n"/>
      <c r="P4" s="6">
        <f>IFERROR(VLOOKUP(O4,DM_Giao_vien!$A$3:$H$102,2,FALSE),"")</f>
        <v/>
      </c>
      <c r="Q4" s="6">
        <f>IFERROR(VLOOKUP(O4,DM_Giao_vien!$A$3:$H$102,8,FALSE),"")</f>
        <v/>
      </c>
      <c r="R4" s="6" t="n"/>
    </row>
    <row r="5">
      <c r="A5" s="5" t="n">
        <v>3</v>
      </c>
      <c r="B5" s="6">
        <f>IF(D5="","",Huong_dan!$B$6)</f>
        <v/>
      </c>
      <c r="C5" s="5" t="n"/>
      <c r="D5" s="5" t="n"/>
      <c r="E5" s="5" t="n"/>
      <c r="F5" s="5" t="n"/>
      <c r="G5" s="5">
        <f>IFERROR(VLOOKUP(F5,DM_Mon_GDPT2018!$A$3:$G$20,2,FALSE),"")</f>
        <v/>
      </c>
      <c r="H5" s="5">
        <f>IFERROR(VLOOKUP(F5,DM_Mon_GDPT2018!$A$3:$G$20,3,FALSE),"")</f>
        <v/>
      </c>
      <c r="I5" s="5">
        <f>IFERROR(VLOOKUP(F5,DM_Mon_GDPT2018!$A$3:$G$20,5,FALSE),"")</f>
        <v/>
      </c>
      <c r="J5" s="6">
        <f>IF($I5="","",ROUND($I5*Huong_dan!$B$7/Huong_dan!$B$9,0))</f>
        <v/>
      </c>
      <c r="K5" s="6">
        <f>IF($I5="","",$I5-$J5)</f>
        <v/>
      </c>
      <c r="L5" s="6" t="n"/>
      <c r="M5" s="6">
        <f>IFERROR(VLOOKUP(L5,DM_Giao_vien!$A$3:$H$102,2,FALSE),"")</f>
        <v/>
      </c>
      <c r="N5" s="6">
        <f>IFERROR(VLOOKUP(L5,DM_Giao_vien!$A$3:$H$102,8,FALSE),"")</f>
        <v/>
      </c>
      <c r="O5" s="6" t="n"/>
      <c r="P5" s="6">
        <f>IFERROR(VLOOKUP(O5,DM_Giao_vien!$A$3:$H$102,2,FALSE),"")</f>
        <v/>
      </c>
      <c r="Q5" s="6">
        <f>IFERROR(VLOOKUP(O5,DM_Giao_vien!$A$3:$H$102,8,FALSE),"")</f>
        <v/>
      </c>
      <c r="R5" s="6" t="n"/>
    </row>
    <row r="6">
      <c r="A6" s="5" t="n">
        <v>4</v>
      </c>
      <c r="B6" s="6">
        <f>IF(D6="","",Huong_dan!$B$6)</f>
        <v/>
      </c>
      <c r="C6" s="5" t="n"/>
      <c r="D6" s="5" t="n"/>
      <c r="E6" s="5" t="n"/>
      <c r="F6" s="5" t="n"/>
      <c r="G6" s="5">
        <f>IFERROR(VLOOKUP(F6,DM_Mon_GDPT2018!$A$3:$G$20,2,FALSE),"")</f>
        <v/>
      </c>
      <c r="H6" s="5">
        <f>IFERROR(VLOOKUP(F6,DM_Mon_GDPT2018!$A$3:$G$20,3,FALSE),"")</f>
        <v/>
      </c>
      <c r="I6" s="5">
        <f>IFERROR(VLOOKUP(F6,DM_Mon_GDPT2018!$A$3:$G$20,5,FALSE),"")</f>
        <v/>
      </c>
      <c r="J6" s="6">
        <f>IF($I6="","",ROUND($I6*Huong_dan!$B$7/Huong_dan!$B$9,0))</f>
        <v/>
      </c>
      <c r="K6" s="6">
        <f>IF($I6="","",$I6-$J6)</f>
        <v/>
      </c>
      <c r="L6" s="6" t="n"/>
      <c r="M6" s="6">
        <f>IFERROR(VLOOKUP(L6,DM_Giao_vien!$A$3:$H$102,2,FALSE),"")</f>
        <v/>
      </c>
      <c r="N6" s="6">
        <f>IFERROR(VLOOKUP(L6,DM_Giao_vien!$A$3:$H$102,8,FALSE),"")</f>
        <v/>
      </c>
      <c r="O6" s="6" t="n"/>
      <c r="P6" s="6">
        <f>IFERROR(VLOOKUP(O6,DM_Giao_vien!$A$3:$H$102,2,FALSE),"")</f>
        <v/>
      </c>
      <c r="Q6" s="6">
        <f>IFERROR(VLOOKUP(O6,DM_Giao_vien!$A$3:$H$102,8,FALSE),"")</f>
        <v/>
      </c>
      <c r="R6" s="6" t="n"/>
    </row>
    <row r="7">
      <c r="A7" s="5" t="n">
        <v>5</v>
      </c>
      <c r="B7" s="6">
        <f>IF(D7="","",Huong_dan!$B$6)</f>
        <v/>
      </c>
      <c r="C7" s="5" t="n"/>
      <c r="D7" s="5" t="n"/>
      <c r="E7" s="5" t="n"/>
      <c r="F7" s="5" t="n"/>
      <c r="G7" s="5">
        <f>IFERROR(VLOOKUP(F7,DM_Mon_GDPT2018!$A$3:$G$20,2,FALSE),"")</f>
        <v/>
      </c>
      <c r="H7" s="5">
        <f>IFERROR(VLOOKUP(F7,DM_Mon_GDPT2018!$A$3:$G$20,3,FALSE),"")</f>
        <v/>
      </c>
      <c r="I7" s="5">
        <f>IFERROR(VLOOKUP(F7,DM_Mon_GDPT2018!$A$3:$G$20,5,FALSE),"")</f>
        <v/>
      </c>
      <c r="J7" s="6">
        <f>IF($I7="","",ROUND($I7*Huong_dan!$B$7/Huong_dan!$B$9,0))</f>
        <v/>
      </c>
      <c r="K7" s="6">
        <f>IF($I7="","",$I7-$J7)</f>
        <v/>
      </c>
      <c r="L7" s="6" t="n"/>
      <c r="M7" s="6">
        <f>IFERROR(VLOOKUP(L7,DM_Giao_vien!$A$3:$H$102,2,FALSE),"")</f>
        <v/>
      </c>
      <c r="N7" s="6">
        <f>IFERROR(VLOOKUP(L7,DM_Giao_vien!$A$3:$H$102,8,FALSE),"")</f>
        <v/>
      </c>
      <c r="O7" s="6" t="n"/>
      <c r="P7" s="6">
        <f>IFERROR(VLOOKUP(O7,DM_Giao_vien!$A$3:$H$102,2,FALSE),"")</f>
        <v/>
      </c>
      <c r="Q7" s="6">
        <f>IFERROR(VLOOKUP(O7,DM_Giao_vien!$A$3:$H$102,8,FALSE),"")</f>
        <v/>
      </c>
      <c r="R7" s="6" t="n"/>
    </row>
    <row r="8">
      <c r="A8" s="5" t="n">
        <v>6</v>
      </c>
      <c r="B8" s="6">
        <f>IF(D8="","",Huong_dan!$B$6)</f>
        <v/>
      </c>
      <c r="C8" s="5" t="n"/>
      <c r="D8" s="5" t="n"/>
      <c r="E8" s="5" t="n"/>
      <c r="F8" s="5" t="n"/>
      <c r="G8" s="5">
        <f>IFERROR(VLOOKUP(F8,DM_Mon_GDPT2018!$A$3:$G$20,2,FALSE),"")</f>
        <v/>
      </c>
      <c r="H8" s="5">
        <f>IFERROR(VLOOKUP(F8,DM_Mon_GDPT2018!$A$3:$G$20,3,FALSE),"")</f>
        <v/>
      </c>
      <c r="I8" s="5">
        <f>IFERROR(VLOOKUP(F8,DM_Mon_GDPT2018!$A$3:$G$20,5,FALSE),"")</f>
        <v/>
      </c>
      <c r="J8" s="6">
        <f>IF($I8="","",ROUND($I8*Huong_dan!$B$7/Huong_dan!$B$9,0))</f>
        <v/>
      </c>
      <c r="K8" s="6">
        <f>IF($I8="","",$I8-$J8)</f>
        <v/>
      </c>
      <c r="L8" s="6" t="n"/>
      <c r="M8" s="6">
        <f>IFERROR(VLOOKUP(L8,DM_Giao_vien!$A$3:$H$102,2,FALSE),"")</f>
        <v/>
      </c>
      <c r="N8" s="6">
        <f>IFERROR(VLOOKUP(L8,DM_Giao_vien!$A$3:$H$102,8,FALSE),"")</f>
        <v/>
      </c>
      <c r="O8" s="6" t="n"/>
      <c r="P8" s="6">
        <f>IFERROR(VLOOKUP(O8,DM_Giao_vien!$A$3:$H$102,2,FALSE),"")</f>
        <v/>
      </c>
      <c r="Q8" s="6">
        <f>IFERROR(VLOOKUP(O8,DM_Giao_vien!$A$3:$H$102,8,FALSE),"")</f>
        <v/>
      </c>
      <c r="R8" s="6" t="n"/>
    </row>
    <row r="9">
      <c r="A9" s="5" t="n">
        <v>7</v>
      </c>
      <c r="B9" s="6">
        <f>IF(D9="","",Huong_dan!$B$6)</f>
        <v/>
      </c>
      <c r="C9" s="5" t="n"/>
      <c r="D9" s="5" t="n"/>
      <c r="E9" s="5" t="n"/>
      <c r="F9" s="5" t="n"/>
      <c r="G9" s="5">
        <f>IFERROR(VLOOKUP(F9,DM_Mon_GDPT2018!$A$3:$G$20,2,FALSE),"")</f>
        <v/>
      </c>
      <c r="H9" s="5">
        <f>IFERROR(VLOOKUP(F9,DM_Mon_GDPT2018!$A$3:$G$20,3,FALSE),"")</f>
        <v/>
      </c>
      <c r="I9" s="5">
        <f>IFERROR(VLOOKUP(F9,DM_Mon_GDPT2018!$A$3:$G$20,5,FALSE),"")</f>
        <v/>
      </c>
      <c r="J9" s="6">
        <f>IF($I9="","",ROUND($I9*Huong_dan!$B$7/Huong_dan!$B$9,0))</f>
        <v/>
      </c>
      <c r="K9" s="6">
        <f>IF($I9="","",$I9-$J9)</f>
        <v/>
      </c>
      <c r="L9" s="6" t="n"/>
      <c r="M9" s="6">
        <f>IFERROR(VLOOKUP(L9,DM_Giao_vien!$A$3:$H$102,2,FALSE),"")</f>
        <v/>
      </c>
      <c r="N9" s="6">
        <f>IFERROR(VLOOKUP(L9,DM_Giao_vien!$A$3:$H$102,8,FALSE),"")</f>
        <v/>
      </c>
      <c r="O9" s="6" t="n"/>
      <c r="P9" s="6">
        <f>IFERROR(VLOOKUP(O9,DM_Giao_vien!$A$3:$H$102,2,FALSE),"")</f>
        <v/>
      </c>
      <c r="Q9" s="6">
        <f>IFERROR(VLOOKUP(O9,DM_Giao_vien!$A$3:$H$102,8,FALSE),"")</f>
        <v/>
      </c>
      <c r="R9" s="6" t="n"/>
    </row>
    <row r="10">
      <c r="A10" s="5" t="n">
        <v>8</v>
      </c>
      <c r="B10" s="6">
        <f>IF(D10="","",Huong_dan!$B$6)</f>
        <v/>
      </c>
      <c r="C10" s="5" t="n"/>
      <c r="D10" s="5" t="n"/>
      <c r="E10" s="5" t="n"/>
      <c r="F10" s="5" t="n"/>
      <c r="G10" s="5">
        <f>IFERROR(VLOOKUP(F10,DM_Mon_GDPT2018!$A$3:$G$20,2,FALSE),"")</f>
        <v/>
      </c>
      <c r="H10" s="5">
        <f>IFERROR(VLOOKUP(F10,DM_Mon_GDPT2018!$A$3:$G$20,3,FALSE),"")</f>
        <v/>
      </c>
      <c r="I10" s="5">
        <f>IFERROR(VLOOKUP(F10,DM_Mon_GDPT2018!$A$3:$G$20,5,FALSE),"")</f>
        <v/>
      </c>
      <c r="J10" s="6">
        <f>IF($I10="","",ROUND($I10*Huong_dan!$B$7/Huong_dan!$B$9,0))</f>
        <v/>
      </c>
      <c r="K10" s="6">
        <f>IF($I10="","",$I10-$J10)</f>
        <v/>
      </c>
      <c r="L10" s="6" t="n"/>
      <c r="M10" s="6">
        <f>IFERROR(VLOOKUP(L10,DM_Giao_vien!$A$3:$H$102,2,FALSE),"")</f>
        <v/>
      </c>
      <c r="N10" s="6">
        <f>IFERROR(VLOOKUP(L10,DM_Giao_vien!$A$3:$H$102,8,FALSE),"")</f>
        <v/>
      </c>
      <c r="O10" s="6" t="n"/>
      <c r="P10" s="6">
        <f>IFERROR(VLOOKUP(O10,DM_Giao_vien!$A$3:$H$102,2,FALSE),"")</f>
        <v/>
      </c>
      <c r="Q10" s="6">
        <f>IFERROR(VLOOKUP(O10,DM_Giao_vien!$A$3:$H$102,8,FALSE),"")</f>
        <v/>
      </c>
      <c r="R10" s="6" t="n"/>
    </row>
    <row r="11">
      <c r="A11" s="5" t="n">
        <v>9</v>
      </c>
      <c r="B11" s="6">
        <f>IF(D11="","",Huong_dan!$B$6)</f>
        <v/>
      </c>
      <c r="C11" s="5" t="n"/>
      <c r="D11" s="5" t="n"/>
      <c r="E11" s="5" t="n"/>
      <c r="F11" s="5" t="n"/>
      <c r="G11" s="5">
        <f>IFERROR(VLOOKUP(F11,DM_Mon_GDPT2018!$A$3:$G$20,2,FALSE),"")</f>
        <v/>
      </c>
      <c r="H11" s="5">
        <f>IFERROR(VLOOKUP(F11,DM_Mon_GDPT2018!$A$3:$G$20,3,FALSE),"")</f>
        <v/>
      </c>
      <c r="I11" s="5">
        <f>IFERROR(VLOOKUP(F11,DM_Mon_GDPT2018!$A$3:$G$20,5,FALSE),"")</f>
        <v/>
      </c>
      <c r="J11" s="6">
        <f>IF($I11="","",ROUND($I11*Huong_dan!$B$7/Huong_dan!$B$9,0))</f>
        <v/>
      </c>
      <c r="K11" s="6">
        <f>IF($I11="","",$I11-$J11)</f>
        <v/>
      </c>
      <c r="L11" s="6" t="n"/>
      <c r="M11" s="6">
        <f>IFERROR(VLOOKUP(L11,DM_Giao_vien!$A$3:$H$102,2,FALSE),"")</f>
        <v/>
      </c>
      <c r="N11" s="6">
        <f>IFERROR(VLOOKUP(L11,DM_Giao_vien!$A$3:$H$102,8,FALSE),"")</f>
        <v/>
      </c>
      <c r="O11" s="6" t="n"/>
      <c r="P11" s="6">
        <f>IFERROR(VLOOKUP(O11,DM_Giao_vien!$A$3:$H$102,2,FALSE),"")</f>
        <v/>
      </c>
      <c r="Q11" s="6">
        <f>IFERROR(VLOOKUP(O11,DM_Giao_vien!$A$3:$H$102,8,FALSE),"")</f>
        <v/>
      </c>
      <c r="R11" s="6" t="n"/>
    </row>
    <row r="12">
      <c r="A12" s="5" t="n">
        <v>10</v>
      </c>
      <c r="B12" s="6">
        <f>IF(D12="","",Huong_dan!$B$6)</f>
        <v/>
      </c>
      <c r="C12" s="5" t="n"/>
      <c r="D12" s="5" t="n"/>
      <c r="E12" s="5" t="n"/>
      <c r="F12" s="5" t="n"/>
      <c r="G12" s="5">
        <f>IFERROR(VLOOKUP(F12,DM_Mon_GDPT2018!$A$3:$G$20,2,FALSE),"")</f>
        <v/>
      </c>
      <c r="H12" s="5">
        <f>IFERROR(VLOOKUP(F12,DM_Mon_GDPT2018!$A$3:$G$20,3,FALSE),"")</f>
        <v/>
      </c>
      <c r="I12" s="5">
        <f>IFERROR(VLOOKUP(F12,DM_Mon_GDPT2018!$A$3:$G$20,5,FALSE),"")</f>
        <v/>
      </c>
      <c r="J12" s="6">
        <f>IF($I12="","",ROUND($I12*Huong_dan!$B$7/Huong_dan!$B$9,0))</f>
        <v/>
      </c>
      <c r="K12" s="6">
        <f>IF($I12="","",$I12-$J12)</f>
        <v/>
      </c>
      <c r="L12" s="6" t="n"/>
      <c r="M12" s="6">
        <f>IFERROR(VLOOKUP(L12,DM_Giao_vien!$A$3:$H$102,2,FALSE),"")</f>
        <v/>
      </c>
      <c r="N12" s="6">
        <f>IFERROR(VLOOKUP(L12,DM_Giao_vien!$A$3:$H$102,8,FALSE),"")</f>
        <v/>
      </c>
      <c r="O12" s="6" t="n"/>
      <c r="P12" s="6">
        <f>IFERROR(VLOOKUP(O12,DM_Giao_vien!$A$3:$H$102,2,FALSE),"")</f>
        <v/>
      </c>
      <c r="Q12" s="6">
        <f>IFERROR(VLOOKUP(O12,DM_Giao_vien!$A$3:$H$102,8,FALSE),"")</f>
        <v/>
      </c>
      <c r="R12" s="6" t="n"/>
    </row>
    <row r="13">
      <c r="A13" s="5" t="n">
        <v>11</v>
      </c>
      <c r="B13" s="6">
        <f>IF(D13="","",Huong_dan!$B$6)</f>
        <v/>
      </c>
      <c r="C13" s="5" t="n"/>
      <c r="D13" s="5" t="n"/>
      <c r="E13" s="5" t="n"/>
      <c r="F13" s="5" t="n"/>
      <c r="G13" s="5">
        <f>IFERROR(VLOOKUP(F13,DM_Mon_GDPT2018!$A$3:$G$20,2,FALSE),"")</f>
        <v/>
      </c>
      <c r="H13" s="5">
        <f>IFERROR(VLOOKUP(F13,DM_Mon_GDPT2018!$A$3:$G$20,3,FALSE),"")</f>
        <v/>
      </c>
      <c r="I13" s="5">
        <f>IFERROR(VLOOKUP(F13,DM_Mon_GDPT2018!$A$3:$G$20,5,FALSE),"")</f>
        <v/>
      </c>
      <c r="J13" s="6">
        <f>IF($I13="","",ROUND($I13*Huong_dan!$B$7/Huong_dan!$B$9,0))</f>
        <v/>
      </c>
      <c r="K13" s="6">
        <f>IF($I13="","",$I13-$J13)</f>
        <v/>
      </c>
      <c r="L13" s="6" t="n"/>
      <c r="M13" s="6">
        <f>IFERROR(VLOOKUP(L13,DM_Giao_vien!$A$3:$H$102,2,FALSE),"")</f>
        <v/>
      </c>
      <c r="N13" s="6">
        <f>IFERROR(VLOOKUP(L13,DM_Giao_vien!$A$3:$H$102,8,FALSE),"")</f>
        <v/>
      </c>
      <c r="O13" s="6" t="n"/>
      <c r="P13" s="6">
        <f>IFERROR(VLOOKUP(O13,DM_Giao_vien!$A$3:$H$102,2,FALSE),"")</f>
        <v/>
      </c>
      <c r="Q13" s="6">
        <f>IFERROR(VLOOKUP(O13,DM_Giao_vien!$A$3:$H$102,8,FALSE),"")</f>
        <v/>
      </c>
      <c r="R13" s="6" t="n"/>
    </row>
    <row r="14">
      <c r="A14" s="5" t="n">
        <v>12</v>
      </c>
      <c r="B14" s="6">
        <f>IF(D14="","",Huong_dan!$B$6)</f>
        <v/>
      </c>
      <c r="C14" s="5" t="n"/>
      <c r="D14" s="5" t="n"/>
      <c r="E14" s="5" t="n"/>
      <c r="F14" s="5" t="n"/>
      <c r="G14" s="5">
        <f>IFERROR(VLOOKUP(F14,DM_Mon_GDPT2018!$A$3:$G$20,2,FALSE),"")</f>
        <v/>
      </c>
      <c r="H14" s="5">
        <f>IFERROR(VLOOKUP(F14,DM_Mon_GDPT2018!$A$3:$G$20,3,FALSE),"")</f>
        <v/>
      </c>
      <c r="I14" s="5">
        <f>IFERROR(VLOOKUP(F14,DM_Mon_GDPT2018!$A$3:$G$20,5,FALSE),"")</f>
        <v/>
      </c>
      <c r="J14" s="6">
        <f>IF($I14="","",ROUND($I14*Huong_dan!$B$7/Huong_dan!$B$9,0))</f>
        <v/>
      </c>
      <c r="K14" s="6">
        <f>IF($I14="","",$I14-$J14)</f>
        <v/>
      </c>
      <c r="L14" s="6" t="n"/>
      <c r="M14" s="6">
        <f>IFERROR(VLOOKUP(L14,DM_Giao_vien!$A$3:$H$102,2,FALSE),"")</f>
        <v/>
      </c>
      <c r="N14" s="6">
        <f>IFERROR(VLOOKUP(L14,DM_Giao_vien!$A$3:$H$102,8,FALSE),"")</f>
        <v/>
      </c>
      <c r="O14" s="6" t="n"/>
      <c r="P14" s="6">
        <f>IFERROR(VLOOKUP(O14,DM_Giao_vien!$A$3:$H$102,2,FALSE),"")</f>
        <v/>
      </c>
      <c r="Q14" s="6">
        <f>IFERROR(VLOOKUP(O14,DM_Giao_vien!$A$3:$H$102,8,FALSE),"")</f>
        <v/>
      </c>
      <c r="R14" s="6" t="n"/>
    </row>
    <row r="15">
      <c r="A15" s="5" t="n">
        <v>13</v>
      </c>
      <c r="B15" s="6">
        <f>IF(D15="","",Huong_dan!$B$6)</f>
        <v/>
      </c>
      <c r="C15" s="5" t="n"/>
      <c r="D15" s="5" t="n"/>
      <c r="E15" s="5" t="n"/>
      <c r="F15" s="5" t="n"/>
      <c r="G15" s="5">
        <f>IFERROR(VLOOKUP(F15,DM_Mon_GDPT2018!$A$3:$G$20,2,FALSE),"")</f>
        <v/>
      </c>
      <c r="H15" s="5">
        <f>IFERROR(VLOOKUP(F15,DM_Mon_GDPT2018!$A$3:$G$20,3,FALSE),"")</f>
        <v/>
      </c>
      <c r="I15" s="5">
        <f>IFERROR(VLOOKUP(F15,DM_Mon_GDPT2018!$A$3:$G$20,5,FALSE),"")</f>
        <v/>
      </c>
      <c r="J15" s="6">
        <f>IF($I15="","",ROUND($I15*Huong_dan!$B$7/Huong_dan!$B$9,0))</f>
        <v/>
      </c>
      <c r="K15" s="6">
        <f>IF($I15="","",$I15-$J15)</f>
        <v/>
      </c>
      <c r="L15" s="6" t="n"/>
      <c r="M15" s="6">
        <f>IFERROR(VLOOKUP(L15,DM_Giao_vien!$A$3:$H$102,2,FALSE),"")</f>
        <v/>
      </c>
      <c r="N15" s="6">
        <f>IFERROR(VLOOKUP(L15,DM_Giao_vien!$A$3:$H$102,8,FALSE),"")</f>
        <v/>
      </c>
      <c r="O15" s="6" t="n"/>
      <c r="P15" s="6">
        <f>IFERROR(VLOOKUP(O15,DM_Giao_vien!$A$3:$H$102,2,FALSE),"")</f>
        <v/>
      </c>
      <c r="Q15" s="6">
        <f>IFERROR(VLOOKUP(O15,DM_Giao_vien!$A$3:$H$102,8,FALSE),"")</f>
        <v/>
      </c>
      <c r="R15" s="6" t="n"/>
    </row>
    <row r="16">
      <c r="A16" s="5" t="n">
        <v>14</v>
      </c>
      <c r="B16" s="6">
        <f>IF(D16="","",Huong_dan!$B$6)</f>
        <v/>
      </c>
      <c r="C16" s="5" t="n"/>
      <c r="D16" s="5" t="n"/>
      <c r="E16" s="5" t="n"/>
      <c r="F16" s="5" t="n"/>
      <c r="G16" s="5">
        <f>IFERROR(VLOOKUP(F16,DM_Mon_GDPT2018!$A$3:$G$20,2,FALSE),"")</f>
        <v/>
      </c>
      <c r="H16" s="5">
        <f>IFERROR(VLOOKUP(F16,DM_Mon_GDPT2018!$A$3:$G$20,3,FALSE),"")</f>
        <v/>
      </c>
      <c r="I16" s="5">
        <f>IFERROR(VLOOKUP(F16,DM_Mon_GDPT2018!$A$3:$G$20,5,FALSE),"")</f>
        <v/>
      </c>
      <c r="J16" s="6">
        <f>IF($I16="","",ROUND($I16*Huong_dan!$B$7/Huong_dan!$B$9,0))</f>
        <v/>
      </c>
      <c r="K16" s="6">
        <f>IF($I16="","",$I16-$J16)</f>
        <v/>
      </c>
      <c r="L16" s="6" t="n"/>
      <c r="M16" s="6">
        <f>IFERROR(VLOOKUP(L16,DM_Giao_vien!$A$3:$H$102,2,FALSE),"")</f>
        <v/>
      </c>
      <c r="N16" s="6">
        <f>IFERROR(VLOOKUP(L16,DM_Giao_vien!$A$3:$H$102,8,FALSE),"")</f>
        <v/>
      </c>
      <c r="O16" s="6" t="n"/>
      <c r="P16" s="6">
        <f>IFERROR(VLOOKUP(O16,DM_Giao_vien!$A$3:$H$102,2,FALSE),"")</f>
        <v/>
      </c>
      <c r="Q16" s="6">
        <f>IFERROR(VLOOKUP(O16,DM_Giao_vien!$A$3:$H$102,8,FALSE),"")</f>
        <v/>
      </c>
      <c r="R16" s="6" t="n"/>
    </row>
    <row r="17">
      <c r="A17" s="5" t="n">
        <v>15</v>
      </c>
      <c r="B17" s="6">
        <f>IF(D17="","",Huong_dan!$B$6)</f>
        <v/>
      </c>
      <c r="C17" s="5" t="n"/>
      <c r="D17" s="5" t="n"/>
      <c r="E17" s="5" t="n"/>
      <c r="F17" s="5" t="n"/>
      <c r="G17" s="5">
        <f>IFERROR(VLOOKUP(F17,DM_Mon_GDPT2018!$A$3:$G$20,2,FALSE),"")</f>
        <v/>
      </c>
      <c r="H17" s="5">
        <f>IFERROR(VLOOKUP(F17,DM_Mon_GDPT2018!$A$3:$G$20,3,FALSE),"")</f>
        <v/>
      </c>
      <c r="I17" s="5">
        <f>IFERROR(VLOOKUP(F17,DM_Mon_GDPT2018!$A$3:$G$20,5,FALSE),"")</f>
        <v/>
      </c>
      <c r="J17" s="6">
        <f>IF($I17="","",ROUND($I17*Huong_dan!$B$7/Huong_dan!$B$9,0))</f>
        <v/>
      </c>
      <c r="K17" s="6">
        <f>IF($I17="","",$I17-$J17)</f>
        <v/>
      </c>
      <c r="L17" s="6" t="n"/>
      <c r="M17" s="6">
        <f>IFERROR(VLOOKUP(L17,DM_Giao_vien!$A$3:$H$102,2,FALSE),"")</f>
        <v/>
      </c>
      <c r="N17" s="6">
        <f>IFERROR(VLOOKUP(L17,DM_Giao_vien!$A$3:$H$102,8,FALSE),"")</f>
        <v/>
      </c>
      <c r="O17" s="6" t="n"/>
      <c r="P17" s="6">
        <f>IFERROR(VLOOKUP(O17,DM_Giao_vien!$A$3:$H$102,2,FALSE),"")</f>
        <v/>
      </c>
      <c r="Q17" s="6">
        <f>IFERROR(VLOOKUP(O17,DM_Giao_vien!$A$3:$H$102,8,FALSE),"")</f>
        <v/>
      </c>
      <c r="R17" s="6" t="n"/>
    </row>
    <row r="18">
      <c r="A18" s="5" t="n">
        <v>16</v>
      </c>
      <c r="B18" s="6">
        <f>IF(D18="","",Huong_dan!$B$6)</f>
        <v/>
      </c>
      <c r="C18" s="5" t="n"/>
      <c r="D18" s="5" t="n"/>
      <c r="E18" s="5" t="n"/>
      <c r="F18" s="5" t="n"/>
      <c r="G18" s="5">
        <f>IFERROR(VLOOKUP(F18,DM_Mon_GDPT2018!$A$3:$G$20,2,FALSE),"")</f>
        <v/>
      </c>
      <c r="H18" s="5">
        <f>IFERROR(VLOOKUP(F18,DM_Mon_GDPT2018!$A$3:$G$20,3,FALSE),"")</f>
        <v/>
      </c>
      <c r="I18" s="5">
        <f>IFERROR(VLOOKUP(F18,DM_Mon_GDPT2018!$A$3:$G$20,5,FALSE),"")</f>
        <v/>
      </c>
      <c r="J18" s="6">
        <f>IF($I18="","",ROUND($I18*Huong_dan!$B$7/Huong_dan!$B$9,0))</f>
        <v/>
      </c>
      <c r="K18" s="6">
        <f>IF($I18="","",$I18-$J18)</f>
        <v/>
      </c>
      <c r="L18" s="6" t="n"/>
      <c r="M18" s="6">
        <f>IFERROR(VLOOKUP(L18,DM_Giao_vien!$A$3:$H$102,2,FALSE),"")</f>
        <v/>
      </c>
      <c r="N18" s="6">
        <f>IFERROR(VLOOKUP(L18,DM_Giao_vien!$A$3:$H$102,8,FALSE),"")</f>
        <v/>
      </c>
      <c r="O18" s="6" t="n"/>
      <c r="P18" s="6">
        <f>IFERROR(VLOOKUP(O18,DM_Giao_vien!$A$3:$H$102,2,FALSE),"")</f>
        <v/>
      </c>
      <c r="Q18" s="6">
        <f>IFERROR(VLOOKUP(O18,DM_Giao_vien!$A$3:$H$102,8,FALSE),"")</f>
        <v/>
      </c>
      <c r="R18" s="6" t="n"/>
    </row>
    <row r="19">
      <c r="A19" s="5" t="n">
        <v>17</v>
      </c>
      <c r="B19" s="6">
        <f>IF(D19="","",Huong_dan!$B$6)</f>
        <v/>
      </c>
      <c r="C19" s="5" t="n"/>
      <c r="D19" s="5" t="n"/>
      <c r="E19" s="5" t="n"/>
      <c r="F19" s="5" t="n"/>
      <c r="G19" s="5">
        <f>IFERROR(VLOOKUP(F19,DM_Mon_GDPT2018!$A$3:$G$20,2,FALSE),"")</f>
        <v/>
      </c>
      <c r="H19" s="5">
        <f>IFERROR(VLOOKUP(F19,DM_Mon_GDPT2018!$A$3:$G$20,3,FALSE),"")</f>
        <v/>
      </c>
      <c r="I19" s="5">
        <f>IFERROR(VLOOKUP(F19,DM_Mon_GDPT2018!$A$3:$G$20,5,FALSE),"")</f>
        <v/>
      </c>
      <c r="J19" s="6">
        <f>IF($I19="","",ROUND($I19*Huong_dan!$B$7/Huong_dan!$B$9,0))</f>
        <v/>
      </c>
      <c r="K19" s="6">
        <f>IF($I19="","",$I19-$J19)</f>
        <v/>
      </c>
      <c r="L19" s="6" t="n"/>
      <c r="M19" s="6">
        <f>IFERROR(VLOOKUP(L19,DM_Giao_vien!$A$3:$H$102,2,FALSE),"")</f>
        <v/>
      </c>
      <c r="N19" s="6">
        <f>IFERROR(VLOOKUP(L19,DM_Giao_vien!$A$3:$H$102,8,FALSE),"")</f>
        <v/>
      </c>
      <c r="O19" s="6" t="n"/>
      <c r="P19" s="6">
        <f>IFERROR(VLOOKUP(O19,DM_Giao_vien!$A$3:$H$102,2,FALSE),"")</f>
        <v/>
      </c>
      <c r="Q19" s="6">
        <f>IFERROR(VLOOKUP(O19,DM_Giao_vien!$A$3:$H$102,8,FALSE),"")</f>
        <v/>
      </c>
      <c r="R19" s="6" t="n"/>
    </row>
    <row r="20">
      <c r="A20" s="5" t="n">
        <v>18</v>
      </c>
      <c r="B20" s="6">
        <f>IF(D20="","",Huong_dan!$B$6)</f>
        <v/>
      </c>
      <c r="C20" s="5" t="n"/>
      <c r="D20" s="5" t="n"/>
      <c r="E20" s="5" t="n"/>
      <c r="F20" s="5" t="n"/>
      <c r="G20" s="5">
        <f>IFERROR(VLOOKUP(F20,DM_Mon_GDPT2018!$A$3:$G$20,2,FALSE),"")</f>
        <v/>
      </c>
      <c r="H20" s="5">
        <f>IFERROR(VLOOKUP(F20,DM_Mon_GDPT2018!$A$3:$G$20,3,FALSE),"")</f>
        <v/>
      </c>
      <c r="I20" s="5">
        <f>IFERROR(VLOOKUP(F20,DM_Mon_GDPT2018!$A$3:$G$20,5,FALSE),"")</f>
        <v/>
      </c>
      <c r="J20" s="6">
        <f>IF($I20="","",ROUND($I20*Huong_dan!$B$7/Huong_dan!$B$9,0))</f>
        <v/>
      </c>
      <c r="K20" s="6">
        <f>IF($I20="","",$I20-$J20)</f>
        <v/>
      </c>
      <c r="L20" s="6" t="n"/>
      <c r="M20" s="6">
        <f>IFERROR(VLOOKUP(L20,DM_Giao_vien!$A$3:$H$102,2,FALSE),"")</f>
        <v/>
      </c>
      <c r="N20" s="6">
        <f>IFERROR(VLOOKUP(L20,DM_Giao_vien!$A$3:$H$102,8,FALSE),"")</f>
        <v/>
      </c>
      <c r="O20" s="6" t="n"/>
      <c r="P20" s="6">
        <f>IFERROR(VLOOKUP(O20,DM_Giao_vien!$A$3:$H$102,2,FALSE),"")</f>
        <v/>
      </c>
      <c r="Q20" s="6">
        <f>IFERROR(VLOOKUP(O20,DM_Giao_vien!$A$3:$H$102,8,FALSE),"")</f>
        <v/>
      </c>
      <c r="R20" s="6" t="n"/>
    </row>
    <row r="21">
      <c r="A21" s="5" t="n">
        <v>19</v>
      </c>
      <c r="B21" s="6">
        <f>IF(D21="","",Huong_dan!$B$6)</f>
        <v/>
      </c>
      <c r="C21" s="5" t="n"/>
      <c r="D21" s="5" t="n"/>
      <c r="E21" s="5" t="n"/>
      <c r="F21" s="5" t="n"/>
      <c r="G21" s="5">
        <f>IFERROR(VLOOKUP(F21,DM_Mon_GDPT2018!$A$3:$G$20,2,FALSE),"")</f>
        <v/>
      </c>
      <c r="H21" s="5">
        <f>IFERROR(VLOOKUP(F21,DM_Mon_GDPT2018!$A$3:$G$20,3,FALSE),"")</f>
        <v/>
      </c>
      <c r="I21" s="5">
        <f>IFERROR(VLOOKUP(F21,DM_Mon_GDPT2018!$A$3:$G$20,5,FALSE),"")</f>
        <v/>
      </c>
      <c r="J21" s="6">
        <f>IF($I21="","",ROUND($I21*Huong_dan!$B$7/Huong_dan!$B$9,0))</f>
        <v/>
      </c>
      <c r="K21" s="6">
        <f>IF($I21="","",$I21-$J21)</f>
        <v/>
      </c>
      <c r="L21" s="6" t="n"/>
      <c r="M21" s="6">
        <f>IFERROR(VLOOKUP(L21,DM_Giao_vien!$A$3:$H$102,2,FALSE),"")</f>
        <v/>
      </c>
      <c r="N21" s="6">
        <f>IFERROR(VLOOKUP(L21,DM_Giao_vien!$A$3:$H$102,8,FALSE),"")</f>
        <v/>
      </c>
      <c r="O21" s="6" t="n"/>
      <c r="P21" s="6">
        <f>IFERROR(VLOOKUP(O21,DM_Giao_vien!$A$3:$H$102,2,FALSE),"")</f>
        <v/>
      </c>
      <c r="Q21" s="6">
        <f>IFERROR(VLOOKUP(O21,DM_Giao_vien!$A$3:$H$102,8,FALSE),"")</f>
        <v/>
      </c>
      <c r="R21" s="6" t="n"/>
    </row>
    <row r="22">
      <c r="A22" s="5" t="n">
        <v>20</v>
      </c>
      <c r="B22" s="6">
        <f>IF(D22="","",Huong_dan!$B$6)</f>
        <v/>
      </c>
      <c r="C22" s="5" t="n"/>
      <c r="D22" s="5" t="n"/>
      <c r="E22" s="5" t="n"/>
      <c r="F22" s="5" t="n"/>
      <c r="G22" s="5">
        <f>IFERROR(VLOOKUP(F22,DM_Mon_GDPT2018!$A$3:$G$20,2,FALSE),"")</f>
        <v/>
      </c>
      <c r="H22" s="5">
        <f>IFERROR(VLOOKUP(F22,DM_Mon_GDPT2018!$A$3:$G$20,3,FALSE),"")</f>
        <v/>
      </c>
      <c r="I22" s="5">
        <f>IFERROR(VLOOKUP(F22,DM_Mon_GDPT2018!$A$3:$G$20,5,FALSE),"")</f>
        <v/>
      </c>
      <c r="J22" s="6">
        <f>IF($I22="","",ROUND($I22*Huong_dan!$B$7/Huong_dan!$B$9,0))</f>
        <v/>
      </c>
      <c r="K22" s="6">
        <f>IF($I22="","",$I22-$J22)</f>
        <v/>
      </c>
      <c r="L22" s="6" t="n"/>
      <c r="M22" s="6">
        <f>IFERROR(VLOOKUP(L22,DM_Giao_vien!$A$3:$H$102,2,FALSE),"")</f>
        <v/>
      </c>
      <c r="N22" s="6">
        <f>IFERROR(VLOOKUP(L22,DM_Giao_vien!$A$3:$H$102,8,FALSE),"")</f>
        <v/>
      </c>
      <c r="O22" s="6" t="n"/>
      <c r="P22" s="6">
        <f>IFERROR(VLOOKUP(O22,DM_Giao_vien!$A$3:$H$102,2,FALSE),"")</f>
        <v/>
      </c>
      <c r="Q22" s="6">
        <f>IFERROR(VLOOKUP(O22,DM_Giao_vien!$A$3:$H$102,8,FALSE),"")</f>
        <v/>
      </c>
      <c r="R22" s="6" t="n"/>
    </row>
    <row r="23">
      <c r="A23" s="5" t="n">
        <v>21</v>
      </c>
      <c r="B23" s="6">
        <f>IF(D23="","",Huong_dan!$B$6)</f>
        <v/>
      </c>
      <c r="C23" s="5" t="n"/>
      <c r="D23" s="5" t="n"/>
      <c r="E23" s="5" t="n"/>
      <c r="F23" s="5" t="n"/>
      <c r="G23" s="5">
        <f>IFERROR(VLOOKUP(F23,DM_Mon_GDPT2018!$A$3:$G$20,2,FALSE),"")</f>
        <v/>
      </c>
      <c r="H23" s="5">
        <f>IFERROR(VLOOKUP(F23,DM_Mon_GDPT2018!$A$3:$G$20,3,FALSE),"")</f>
        <v/>
      </c>
      <c r="I23" s="5">
        <f>IFERROR(VLOOKUP(F23,DM_Mon_GDPT2018!$A$3:$G$20,5,FALSE),"")</f>
        <v/>
      </c>
      <c r="J23" s="6">
        <f>IF($I23="","",ROUND($I23*Huong_dan!$B$7/Huong_dan!$B$9,0))</f>
        <v/>
      </c>
      <c r="K23" s="6">
        <f>IF($I23="","",$I23-$J23)</f>
        <v/>
      </c>
      <c r="L23" s="6" t="n"/>
      <c r="M23" s="6">
        <f>IFERROR(VLOOKUP(L23,DM_Giao_vien!$A$3:$H$102,2,FALSE),"")</f>
        <v/>
      </c>
      <c r="N23" s="6">
        <f>IFERROR(VLOOKUP(L23,DM_Giao_vien!$A$3:$H$102,8,FALSE),"")</f>
        <v/>
      </c>
      <c r="O23" s="6" t="n"/>
      <c r="P23" s="6">
        <f>IFERROR(VLOOKUP(O23,DM_Giao_vien!$A$3:$H$102,2,FALSE),"")</f>
        <v/>
      </c>
      <c r="Q23" s="6">
        <f>IFERROR(VLOOKUP(O23,DM_Giao_vien!$A$3:$H$102,8,FALSE),"")</f>
        <v/>
      </c>
      <c r="R23" s="6" t="n"/>
    </row>
    <row r="24">
      <c r="A24" s="5" t="n">
        <v>22</v>
      </c>
      <c r="B24" s="6">
        <f>IF(D24="","",Huong_dan!$B$6)</f>
        <v/>
      </c>
      <c r="C24" s="5" t="n"/>
      <c r="D24" s="5" t="n"/>
      <c r="E24" s="5" t="n"/>
      <c r="F24" s="5" t="n"/>
      <c r="G24" s="5">
        <f>IFERROR(VLOOKUP(F24,DM_Mon_GDPT2018!$A$3:$G$20,2,FALSE),"")</f>
        <v/>
      </c>
      <c r="H24" s="5">
        <f>IFERROR(VLOOKUP(F24,DM_Mon_GDPT2018!$A$3:$G$20,3,FALSE),"")</f>
        <v/>
      </c>
      <c r="I24" s="5">
        <f>IFERROR(VLOOKUP(F24,DM_Mon_GDPT2018!$A$3:$G$20,5,FALSE),"")</f>
        <v/>
      </c>
      <c r="J24" s="6">
        <f>IF($I24="","",ROUND($I24*Huong_dan!$B$7/Huong_dan!$B$9,0))</f>
        <v/>
      </c>
      <c r="K24" s="6">
        <f>IF($I24="","",$I24-$J24)</f>
        <v/>
      </c>
      <c r="L24" s="6" t="n"/>
      <c r="M24" s="6">
        <f>IFERROR(VLOOKUP(L24,DM_Giao_vien!$A$3:$H$102,2,FALSE),"")</f>
        <v/>
      </c>
      <c r="N24" s="6">
        <f>IFERROR(VLOOKUP(L24,DM_Giao_vien!$A$3:$H$102,8,FALSE),"")</f>
        <v/>
      </c>
      <c r="O24" s="6" t="n"/>
      <c r="P24" s="6">
        <f>IFERROR(VLOOKUP(O24,DM_Giao_vien!$A$3:$H$102,2,FALSE),"")</f>
        <v/>
      </c>
      <c r="Q24" s="6">
        <f>IFERROR(VLOOKUP(O24,DM_Giao_vien!$A$3:$H$102,8,FALSE),"")</f>
        <v/>
      </c>
      <c r="R24" s="6" t="n"/>
    </row>
    <row r="25">
      <c r="A25" s="5" t="n">
        <v>23</v>
      </c>
      <c r="B25" s="6">
        <f>IF(D25="","",Huong_dan!$B$6)</f>
        <v/>
      </c>
      <c r="C25" s="5" t="n"/>
      <c r="D25" s="5" t="n"/>
      <c r="E25" s="5" t="n"/>
      <c r="F25" s="5" t="n"/>
      <c r="G25" s="5">
        <f>IFERROR(VLOOKUP(F25,DM_Mon_GDPT2018!$A$3:$G$20,2,FALSE),"")</f>
        <v/>
      </c>
      <c r="H25" s="5">
        <f>IFERROR(VLOOKUP(F25,DM_Mon_GDPT2018!$A$3:$G$20,3,FALSE),"")</f>
        <v/>
      </c>
      <c r="I25" s="5">
        <f>IFERROR(VLOOKUP(F25,DM_Mon_GDPT2018!$A$3:$G$20,5,FALSE),"")</f>
        <v/>
      </c>
      <c r="J25" s="6">
        <f>IF($I25="","",ROUND($I25*Huong_dan!$B$7/Huong_dan!$B$9,0))</f>
        <v/>
      </c>
      <c r="K25" s="6">
        <f>IF($I25="","",$I25-$J25)</f>
        <v/>
      </c>
      <c r="L25" s="6" t="n"/>
      <c r="M25" s="6">
        <f>IFERROR(VLOOKUP(L25,DM_Giao_vien!$A$3:$H$102,2,FALSE),"")</f>
        <v/>
      </c>
      <c r="N25" s="6">
        <f>IFERROR(VLOOKUP(L25,DM_Giao_vien!$A$3:$H$102,8,FALSE),"")</f>
        <v/>
      </c>
      <c r="O25" s="6" t="n"/>
      <c r="P25" s="6">
        <f>IFERROR(VLOOKUP(O25,DM_Giao_vien!$A$3:$H$102,2,FALSE),"")</f>
        <v/>
      </c>
      <c r="Q25" s="6">
        <f>IFERROR(VLOOKUP(O25,DM_Giao_vien!$A$3:$H$102,8,FALSE),"")</f>
        <v/>
      </c>
      <c r="R25" s="6" t="n"/>
    </row>
    <row r="26">
      <c r="A26" s="5" t="n">
        <v>24</v>
      </c>
      <c r="B26" s="6">
        <f>IF(D26="","",Huong_dan!$B$6)</f>
        <v/>
      </c>
      <c r="C26" s="5" t="n"/>
      <c r="D26" s="5" t="n"/>
      <c r="E26" s="5" t="n"/>
      <c r="F26" s="5" t="n"/>
      <c r="G26" s="5">
        <f>IFERROR(VLOOKUP(F26,DM_Mon_GDPT2018!$A$3:$G$20,2,FALSE),"")</f>
        <v/>
      </c>
      <c r="H26" s="5">
        <f>IFERROR(VLOOKUP(F26,DM_Mon_GDPT2018!$A$3:$G$20,3,FALSE),"")</f>
        <v/>
      </c>
      <c r="I26" s="5">
        <f>IFERROR(VLOOKUP(F26,DM_Mon_GDPT2018!$A$3:$G$20,5,FALSE),"")</f>
        <v/>
      </c>
      <c r="J26" s="6">
        <f>IF($I26="","",ROUND($I26*Huong_dan!$B$7/Huong_dan!$B$9,0))</f>
        <v/>
      </c>
      <c r="K26" s="6">
        <f>IF($I26="","",$I26-$J26)</f>
        <v/>
      </c>
      <c r="L26" s="6" t="n"/>
      <c r="M26" s="6">
        <f>IFERROR(VLOOKUP(L26,DM_Giao_vien!$A$3:$H$102,2,FALSE),"")</f>
        <v/>
      </c>
      <c r="N26" s="6">
        <f>IFERROR(VLOOKUP(L26,DM_Giao_vien!$A$3:$H$102,8,FALSE),"")</f>
        <v/>
      </c>
      <c r="O26" s="6" t="n"/>
      <c r="P26" s="6">
        <f>IFERROR(VLOOKUP(O26,DM_Giao_vien!$A$3:$H$102,2,FALSE),"")</f>
        <v/>
      </c>
      <c r="Q26" s="6">
        <f>IFERROR(VLOOKUP(O26,DM_Giao_vien!$A$3:$H$102,8,FALSE),"")</f>
        <v/>
      </c>
      <c r="R26" s="6" t="n"/>
    </row>
    <row r="27">
      <c r="A27" s="5" t="n">
        <v>25</v>
      </c>
      <c r="B27" s="6">
        <f>IF(D27="","",Huong_dan!$B$6)</f>
        <v/>
      </c>
      <c r="C27" s="5" t="n"/>
      <c r="D27" s="5" t="n"/>
      <c r="E27" s="5" t="n"/>
      <c r="F27" s="5" t="n"/>
      <c r="G27" s="5">
        <f>IFERROR(VLOOKUP(F27,DM_Mon_GDPT2018!$A$3:$G$20,2,FALSE),"")</f>
        <v/>
      </c>
      <c r="H27" s="5">
        <f>IFERROR(VLOOKUP(F27,DM_Mon_GDPT2018!$A$3:$G$20,3,FALSE),"")</f>
        <v/>
      </c>
      <c r="I27" s="5">
        <f>IFERROR(VLOOKUP(F27,DM_Mon_GDPT2018!$A$3:$G$20,5,FALSE),"")</f>
        <v/>
      </c>
      <c r="J27" s="6">
        <f>IF($I27="","",ROUND($I27*Huong_dan!$B$7/Huong_dan!$B$9,0))</f>
        <v/>
      </c>
      <c r="K27" s="6">
        <f>IF($I27="","",$I27-$J27)</f>
        <v/>
      </c>
      <c r="L27" s="6" t="n"/>
      <c r="M27" s="6">
        <f>IFERROR(VLOOKUP(L27,DM_Giao_vien!$A$3:$H$102,2,FALSE),"")</f>
        <v/>
      </c>
      <c r="N27" s="6">
        <f>IFERROR(VLOOKUP(L27,DM_Giao_vien!$A$3:$H$102,8,FALSE),"")</f>
        <v/>
      </c>
      <c r="O27" s="6" t="n"/>
      <c r="P27" s="6">
        <f>IFERROR(VLOOKUP(O27,DM_Giao_vien!$A$3:$H$102,2,FALSE),"")</f>
        <v/>
      </c>
      <c r="Q27" s="6">
        <f>IFERROR(VLOOKUP(O27,DM_Giao_vien!$A$3:$H$102,8,FALSE),"")</f>
        <v/>
      </c>
      <c r="R27" s="6" t="n"/>
    </row>
    <row r="28">
      <c r="A28" s="5" t="n">
        <v>26</v>
      </c>
      <c r="B28" s="6">
        <f>IF(D28="","",Huong_dan!$B$6)</f>
        <v/>
      </c>
      <c r="C28" s="5" t="n"/>
      <c r="D28" s="5" t="n"/>
      <c r="E28" s="5" t="n"/>
      <c r="F28" s="5" t="n"/>
      <c r="G28" s="5">
        <f>IFERROR(VLOOKUP(F28,DM_Mon_GDPT2018!$A$3:$G$20,2,FALSE),"")</f>
        <v/>
      </c>
      <c r="H28" s="5">
        <f>IFERROR(VLOOKUP(F28,DM_Mon_GDPT2018!$A$3:$G$20,3,FALSE),"")</f>
        <v/>
      </c>
      <c r="I28" s="5">
        <f>IFERROR(VLOOKUP(F28,DM_Mon_GDPT2018!$A$3:$G$20,5,FALSE),"")</f>
        <v/>
      </c>
      <c r="J28" s="6">
        <f>IF($I28="","",ROUND($I28*Huong_dan!$B$7/Huong_dan!$B$9,0))</f>
        <v/>
      </c>
      <c r="K28" s="6">
        <f>IF($I28="","",$I28-$J28)</f>
        <v/>
      </c>
      <c r="L28" s="6" t="n"/>
      <c r="M28" s="6">
        <f>IFERROR(VLOOKUP(L28,DM_Giao_vien!$A$3:$H$102,2,FALSE),"")</f>
        <v/>
      </c>
      <c r="N28" s="6">
        <f>IFERROR(VLOOKUP(L28,DM_Giao_vien!$A$3:$H$102,8,FALSE),"")</f>
        <v/>
      </c>
      <c r="O28" s="6" t="n"/>
      <c r="P28" s="6">
        <f>IFERROR(VLOOKUP(O28,DM_Giao_vien!$A$3:$H$102,2,FALSE),"")</f>
        <v/>
      </c>
      <c r="Q28" s="6">
        <f>IFERROR(VLOOKUP(O28,DM_Giao_vien!$A$3:$H$102,8,FALSE),"")</f>
        <v/>
      </c>
      <c r="R28" s="6" t="n"/>
    </row>
    <row r="29">
      <c r="A29" s="5" t="n">
        <v>27</v>
      </c>
      <c r="B29" s="6">
        <f>IF(D29="","",Huong_dan!$B$6)</f>
        <v/>
      </c>
      <c r="C29" s="5" t="n"/>
      <c r="D29" s="5" t="n"/>
      <c r="E29" s="5" t="n"/>
      <c r="F29" s="5" t="n"/>
      <c r="G29" s="5">
        <f>IFERROR(VLOOKUP(F29,DM_Mon_GDPT2018!$A$3:$G$20,2,FALSE),"")</f>
        <v/>
      </c>
      <c r="H29" s="5">
        <f>IFERROR(VLOOKUP(F29,DM_Mon_GDPT2018!$A$3:$G$20,3,FALSE),"")</f>
        <v/>
      </c>
      <c r="I29" s="5">
        <f>IFERROR(VLOOKUP(F29,DM_Mon_GDPT2018!$A$3:$G$20,5,FALSE),"")</f>
        <v/>
      </c>
      <c r="J29" s="6">
        <f>IF($I29="","",ROUND($I29*Huong_dan!$B$7/Huong_dan!$B$9,0))</f>
        <v/>
      </c>
      <c r="K29" s="6">
        <f>IF($I29="","",$I29-$J29)</f>
        <v/>
      </c>
      <c r="L29" s="6" t="n"/>
      <c r="M29" s="6">
        <f>IFERROR(VLOOKUP(L29,DM_Giao_vien!$A$3:$H$102,2,FALSE),"")</f>
        <v/>
      </c>
      <c r="N29" s="6">
        <f>IFERROR(VLOOKUP(L29,DM_Giao_vien!$A$3:$H$102,8,FALSE),"")</f>
        <v/>
      </c>
      <c r="O29" s="6" t="n"/>
      <c r="P29" s="6">
        <f>IFERROR(VLOOKUP(O29,DM_Giao_vien!$A$3:$H$102,2,FALSE),"")</f>
        <v/>
      </c>
      <c r="Q29" s="6">
        <f>IFERROR(VLOOKUP(O29,DM_Giao_vien!$A$3:$H$102,8,FALSE),"")</f>
        <v/>
      </c>
      <c r="R29" s="6" t="n"/>
    </row>
    <row r="30">
      <c r="A30" s="5" t="n">
        <v>28</v>
      </c>
      <c r="B30" s="6">
        <f>IF(D30="","",Huong_dan!$B$6)</f>
        <v/>
      </c>
      <c r="C30" s="5" t="n"/>
      <c r="D30" s="5" t="n"/>
      <c r="E30" s="5" t="n"/>
      <c r="F30" s="5" t="n"/>
      <c r="G30" s="5">
        <f>IFERROR(VLOOKUP(F30,DM_Mon_GDPT2018!$A$3:$G$20,2,FALSE),"")</f>
        <v/>
      </c>
      <c r="H30" s="5">
        <f>IFERROR(VLOOKUP(F30,DM_Mon_GDPT2018!$A$3:$G$20,3,FALSE),"")</f>
        <v/>
      </c>
      <c r="I30" s="5">
        <f>IFERROR(VLOOKUP(F30,DM_Mon_GDPT2018!$A$3:$G$20,5,FALSE),"")</f>
        <v/>
      </c>
      <c r="J30" s="6">
        <f>IF($I30="","",ROUND($I30*Huong_dan!$B$7/Huong_dan!$B$9,0))</f>
        <v/>
      </c>
      <c r="K30" s="6">
        <f>IF($I30="","",$I30-$J30)</f>
        <v/>
      </c>
      <c r="L30" s="6" t="n"/>
      <c r="M30" s="6">
        <f>IFERROR(VLOOKUP(L30,DM_Giao_vien!$A$3:$H$102,2,FALSE),"")</f>
        <v/>
      </c>
      <c r="N30" s="6">
        <f>IFERROR(VLOOKUP(L30,DM_Giao_vien!$A$3:$H$102,8,FALSE),"")</f>
        <v/>
      </c>
      <c r="O30" s="6" t="n"/>
      <c r="P30" s="6">
        <f>IFERROR(VLOOKUP(O30,DM_Giao_vien!$A$3:$H$102,2,FALSE),"")</f>
        <v/>
      </c>
      <c r="Q30" s="6">
        <f>IFERROR(VLOOKUP(O30,DM_Giao_vien!$A$3:$H$102,8,FALSE),"")</f>
        <v/>
      </c>
      <c r="R30" s="6" t="n"/>
    </row>
    <row r="31">
      <c r="A31" s="5" t="n">
        <v>29</v>
      </c>
      <c r="B31" s="6">
        <f>IF(D31="","",Huong_dan!$B$6)</f>
        <v/>
      </c>
      <c r="C31" s="5" t="n"/>
      <c r="D31" s="5" t="n"/>
      <c r="E31" s="5" t="n"/>
      <c r="F31" s="5" t="n"/>
      <c r="G31" s="5">
        <f>IFERROR(VLOOKUP(F31,DM_Mon_GDPT2018!$A$3:$G$20,2,FALSE),"")</f>
        <v/>
      </c>
      <c r="H31" s="5">
        <f>IFERROR(VLOOKUP(F31,DM_Mon_GDPT2018!$A$3:$G$20,3,FALSE),"")</f>
        <v/>
      </c>
      <c r="I31" s="5">
        <f>IFERROR(VLOOKUP(F31,DM_Mon_GDPT2018!$A$3:$G$20,5,FALSE),"")</f>
        <v/>
      </c>
      <c r="J31" s="6">
        <f>IF($I31="","",ROUND($I31*Huong_dan!$B$7/Huong_dan!$B$9,0))</f>
        <v/>
      </c>
      <c r="K31" s="6">
        <f>IF($I31="","",$I31-$J31)</f>
        <v/>
      </c>
      <c r="L31" s="6" t="n"/>
      <c r="M31" s="6">
        <f>IFERROR(VLOOKUP(L31,DM_Giao_vien!$A$3:$H$102,2,FALSE),"")</f>
        <v/>
      </c>
      <c r="N31" s="6">
        <f>IFERROR(VLOOKUP(L31,DM_Giao_vien!$A$3:$H$102,8,FALSE),"")</f>
        <v/>
      </c>
      <c r="O31" s="6" t="n"/>
      <c r="P31" s="6">
        <f>IFERROR(VLOOKUP(O31,DM_Giao_vien!$A$3:$H$102,2,FALSE),"")</f>
        <v/>
      </c>
      <c r="Q31" s="6">
        <f>IFERROR(VLOOKUP(O31,DM_Giao_vien!$A$3:$H$102,8,FALSE),"")</f>
        <v/>
      </c>
      <c r="R31" s="6" t="n"/>
    </row>
    <row r="32">
      <c r="A32" s="5" t="n">
        <v>30</v>
      </c>
      <c r="B32" s="6">
        <f>IF(D32="","",Huong_dan!$B$6)</f>
        <v/>
      </c>
      <c r="C32" s="5" t="n"/>
      <c r="D32" s="5" t="n"/>
      <c r="E32" s="5" t="n"/>
      <c r="F32" s="5" t="n"/>
      <c r="G32" s="5">
        <f>IFERROR(VLOOKUP(F32,DM_Mon_GDPT2018!$A$3:$G$20,2,FALSE),"")</f>
        <v/>
      </c>
      <c r="H32" s="5">
        <f>IFERROR(VLOOKUP(F32,DM_Mon_GDPT2018!$A$3:$G$20,3,FALSE),"")</f>
        <v/>
      </c>
      <c r="I32" s="5">
        <f>IFERROR(VLOOKUP(F32,DM_Mon_GDPT2018!$A$3:$G$20,5,FALSE),"")</f>
        <v/>
      </c>
      <c r="J32" s="6">
        <f>IF($I32="","",ROUND($I32*Huong_dan!$B$7/Huong_dan!$B$9,0))</f>
        <v/>
      </c>
      <c r="K32" s="6">
        <f>IF($I32="","",$I32-$J32)</f>
        <v/>
      </c>
      <c r="L32" s="6" t="n"/>
      <c r="M32" s="6">
        <f>IFERROR(VLOOKUP(L32,DM_Giao_vien!$A$3:$H$102,2,FALSE),"")</f>
        <v/>
      </c>
      <c r="N32" s="6">
        <f>IFERROR(VLOOKUP(L32,DM_Giao_vien!$A$3:$H$102,8,FALSE),"")</f>
        <v/>
      </c>
      <c r="O32" s="6" t="n"/>
      <c r="P32" s="6">
        <f>IFERROR(VLOOKUP(O32,DM_Giao_vien!$A$3:$H$102,2,FALSE),"")</f>
        <v/>
      </c>
      <c r="Q32" s="6">
        <f>IFERROR(VLOOKUP(O32,DM_Giao_vien!$A$3:$H$102,8,FALSE),"")</f>
        <v/>
      </c>
      <c r="R32" s="6" t="n"/>
    </row>
    <row r="33">
      <c r="A33" s="5" t="n">
        <v>31</v>
      </c>
      <c r="B33" s="6">
        <f>IF(D33="","",Huong_dan!$B$6)</f>
        <v/>
      </c>
      <c r="C33" s="5" t="n"/>
      <c r="D33" s="5" t="n"/>
      <c r="E33" s="5" t="n"/>
      <c r="F33" s="5" t="n"/>
      <c r="G33" s="5">
        <f>IFERROR(VLOOKUP(F33,DM_Mon_GDPT2018!$A$3:$G$20,2,FALSE),"")</f>
        <v/>
      </c>
      <c r="H33" s="5">
        <f>IFERROR(VLOOKUP(F33,DM_Mon_GDPT2018!$A$3:$G$20,3,FALSE),"")</f>
        <v/>
      </c>
      <c r="I33" s="5">
        <f>IFERROR(VLOOKUP(F33,DM_Mon_GDPT2018!$A$3:$G$20,5,FALSE),"")</f>
        <v/>
      </c>
      <c r="J33" s="6">
        <f>IF($I33="","",ROUND($I33*Huong_dan!$B$7/Huong_dan!$B$9,0))</f>
        <v/>
      </c>
      <c r="K33" s="6">
        <f>IF($I33="","",$I33-$J33)</f>
        <v/>
      </c>
      <c r="L33" s="6" t="n"/>
      <c r="M33" s="6">
        <f>IFERROR(VLOOKUP(L33,DM_Giao_vien!$A$3:$H$102,2,FALSE),"")</f>
        <v/>
      </c>
      <c r="N33" s="6">
        <f>IFERROR(VLOOKUP(L33,DM_Giao_vien!$A$3:$H$102,8,FALSE),"")</f>
        <v/>
      </c>
      <c r="O33" s="6" t="n"/>
      <c r="P33" s="6">
        <f>IFERROR(VLOOKUP(O33,DM_Giao_vien!$A$3:$H$102,2,FALSE),"")</f>
        <v/>
      </c>
      <c r="Q33" s="6">
        <f>IFERROR(VLOOKUP(O33,DM_Giao_vien!$A$3:$H$102,8,FALSE),"")</f>
        <v/>
      </c>
      <c r="R33" s="6" t="n"/>
    </row>
    <row r="34">
      <c r="A34" s="5" t="n">
        <v>32</v>
      </c>
      <c r="B34" s="6">
        <f>IF(D34="","",Huong_dan!$B$6)</f>
        <v/>
      </c>
      <c r="C34" s="5" t="n"/>
      <c r="D34" s="5" t="n"/>
      <c r="E34" s="5" t="n"/>
      <c r="F34" s="5" t="n"/>
      <c r="G34" s="5">
        <f>IFERROR(VLOOKUP(F34,DM_Mon_GDPT2018!$A$3:$G$20,2,FALSE),"")</f>
        <v/>
      </c>
      <c r="H34" s="5">
        <f>IFERROR(VLOOKUP(F34,DM_Mon_GDPT2018!$A$3:$G$20,3,FALSE),"")</f>
        <v/>
      </c>
      <c r="I34" s="5">
        <f>IFERROR(VLOOKUP(F34,DM_Mon_GDPT2018!$A$3:$G$20,5,FALSE),"")</f>
        <v/>
      </c>
      <c r="J34" s="6">
        <f>IF($I34="","",ROUND($I34*Huong_dan!$B$7/Huong_dan!$B$9,0))</f>
        <v/>
      </c>
      <c r="K34" s="6">
        <f>IF($I34="","",$I34-$J34)</f>
        <v/>
      </c>
      <c r="L34" s="6" t="n"/>
      <c r="M34" s="6">
        <f>IFERROR(VLOOKUP(L34,DM_Giao_vien!$A$3:$H$102,2,FALSE),"")</f>
        <v/>
      </c>
      <c r="N34" s="6">
        <f>IFERROR(VLOOKUP(L34,DM_Giao_vien!$A$3:$H$102,8,FALSE),"")</f>
        <v/>
      </c>
      <c r="O34" s="6" t="n"/>
      <c r="P34" s="6">
        <f>IFERROR(VLOOKUP(O34,DM_Giao_vien!$A$3:$H$102,2,FALSE),"")</f>
        <v/>
      </c>
      <c r="Q34" s="6">
        <f>IFERROR(VLOOKUP(O34,DM_Giao_vien!$A$3:$H$102,8,FALSE),"")</f>
        <v/>
      </c>
      <c r="R34" s="6" t="n"/>
    </row>
    <row r="35">
      <c r="A35" s="5" t="n">
        <v>33</v>
      </c>
      <c r="B35" s="6">
        <f>IF(D35="","",Huong_dan!$B$6)</f>
        <v/>
      </c>
      <c r="C35" s="5" t="n"/>
      <c r="D35" s="5" t="n"/>
      <c r="E35" s="5" t="n"/>
      <c r="F35" s="5" t="n"/>
      <c r="G35" s="5">
        <f>IFERROR(VLOOKUP(F35,DM_Mon_GDPT2018!$A$3:$G$20,2,FALSE),"")</f>
        <v/>
      </c>
      <c r="H35" s="5">
        <f>IFERROR(VLOOKUP(F35,DM_Mon_GDPT2018!$A$3:$G$20,3,FALSE),"")</f>
        <v/>
      </c>
      <c r="I35" s="5">
        <f>IFERROR(VLOOKUP(F35,DM_Mon_GDPT2018!$A$3:$G$20,5,FALSE),"")</f>
        <v/>
      </c>
      <c r="J35" s="6">
        <f>IF($I35="","",ROUND($I35*Huong_dan!$B$7/Huong_dan!$B$9,0))</f>
        <v/>
      </c>
      <c r="K35" s="6">
        <f>IF($I35="","",$I35-$J35)</f>
        <v/>
      </c>
      <c r="L35" s="6" t="n"/>
      <c r="M35" s="6">
        <f>IFERROR(VLOOKUP(L35,DM_Giao_vien!$A$3:$H$102,2,FALSE),"")</f>
        <v/>
      </c>
      <c r="N35" s="6">
        <f>IFERROR(VLOOKUP(L35,DM_Giao_vien!$A$3:$H$102,8,FALSE),"")</f>
        <v/>
      </c>
      <c r="O35" s="6" t="n"/>
      <c r="P35" s="6">
        <f>IFERROR(VLOOKUP(O35,DM_Giao_vien!$A$3:$H$102,2,FALSE),"")</f>
        <v/>
      </c>
      <c r="Q35" s="6">
        <f>IFERROR(VLOOKUP(O35,DM_Giao_vien!$A$3:$H$102,8,FALSE),"")</f>
        <v/>
      </c>
      <c r="R35" s="6" t="n"/>
    </row>
    <row r="36">
      <c r="A36" s="5" t="n">
        <v>34</v>
      </c>
      <c r="B36" s="6">
        <f>IF(D36="","",Huong_dan!$B$6)</f>
        <v/>
      </c>
      <c r="C36" s="5" t="n"/>
      <c r="D36" s="5" t="n"/>
      <c r="E36" s="5" t="n"/>
      <c r="F36" s="5" t="n"/>
      <c r="G36" s="5">
        <f>IFERROR(VLOOKUP(F36,DM_Mon_GDPT2018!$A$3:$G$20,2,FALSE),"")</f>
        <v/>
      </c>
      <c r="H36" s="5">
        <f>IFERROR(VLOOKUP(F36,DM_Mon_GDPT2018!$A$3:$G$20,3,FALSE),"")</f>
        <v/>
      </c>
      <c r="I36" s="5">
        <f>IFERROR(VLOOKUP(F36,DM_Mon_GDPT2018!$A$3:$G$20,5,FALSE),"")</f>
        <v/>
      </c>
      <c r="J36" s="6">
        <f>IF($I36="","",ROUND($I36*Huong_dan!$B$7/Huong_dan!$B$9,0))</f>
        <v/>
      </c>
      <c r="K36" s="6">
        <f>IF($I36="","",$I36-$J36)</f>
        <v/>
      </c>
      <c r="L36" s="6" t="n"/>
      <c r="M36" s="6">
        <f>IFERROR(VLOOKUP(L36,DM_Giao_vien!$A$3:$H$102,2,FALSE),"")</f>
        <v/>
      </c>
      <c r="N36" s="6">
        <f>IFERROR(VLOOKUP(L36,DM_Giao_vien!$A$3:$H$102,8,FALSE),"")</f>
        <v/>
      </c>
      <c r="O36" s="6" t="n"/>
      <c r="P36" s="6">
        <f>IFERROR(VLOOKUP(O36,DM_Giao_vien!$A$3:$H$102,2,FALSE),"")</f>
        <v/>
      </c>
      <c r="Q36" s="6">
        <f>IFERROR(VLOOKUP(O36,DM_Giao_vien!$A$3:$H$102,8,FALSE),"")</f>
        <v/>
      </c>
      <c r="R36" s="6" t="n"/>
    </row>
    <row r="37">
      <c r="A37" s="5" t="n">
        <v>35</v>
      </c>
      <c r="B37" s="6">
        <f>IF(D37="","",Huong_dan!$B$6)</f>
        <v/>
      </c>
      <c r="C37" s="5" t="n"/>
      <c r="D37" s="5" t="n"/>
      <c r="E37" s="5" t="n"/>
      <c r="F37" s="5" t="n"/>
      <c r="G37" s="5">
        <f>IFERROR(VLOOKUP(F37,DM_Mon_GDPT2018!$A$3:$G$20,2,FALSE),"")</f>
        <v/>
      </c>
      <c r="H37" s="5">
        <f>IFERROR(VLOOKUP(F37,DM_Mon_GDPT2018!$A$3:$G$20,3,FALSE),"")</f>
        <v/>
      </c>
      <c r="I37" s="5">
        <f>IFERROR(VLOOKUP(F37,DM_Mon_GDPT2018!$A$3:$G$20,5,FALSE),"")</f>
        <v/>
      </c>
      <c r="J37" s="6">
        <f>IF($I37="","",ROUND($I37*Huong_dan!$B$7/Huong_dan!$B$9,0))</f>
        <v/>
      </c>
      <c r="K37" s="6">
        <f>IF($I37="","",$I37-$J37)</f>
        <v/>
      </c>
      <c r="L37" s="6" t="n"/>
      <c r="M37" s="6">
        <f>IFERROR(VLOOKUP(L37,DM_Giao_vien!$A$3:$H$102,2,FALSE),"")</f>
        <v/>
      </c>
      <c r="N37" s="6">
        <f>IFERROR(VLOOKUP(L37,DM_Giao_vien!$A$3:$H$102,8,FALSE),"")</f>
        <v/>
      </c>
      <c r="O37" s="6" t="n"/>
      <c r="P37" s="6">
        <f>IFERROR(VLOOKUP(O37,DM_Giao_vien!$A$3:$H$102,2,FALSE),"")</f>
        <v/>
      </c>
      <c r="Q37" s="6">
        <f>IFERROR(VLOOKUP(O37,DM_Giao_vien!$A$3:$H$102,8,FALSE),"")</f>
        <v/>
      </c>
      <c r="R37" s="6" t="n"/>
    </row>
    <row r="38">
      <c r="A38" s="5" t="n">
        <v>36</v>
      </c>
      <c r="B38" s="6">
        <f>IF(D38="","",Huong_dan!$B$6)</f>
        <v/>
      </c>
      <c r="C38" s="5" t="n"/>
      <c r="D38" s="5" t="n"/>
      <c r="E38" s="5" t="n"/>
      <c r="F38" s="5" t="n"/>
      <c r="G38" s="5">
        <f>IFERROR(VLOOKUP(F38,DM_Mon_GDPT2018!$A$3:$G$20,2,FALSE),"")</f>
        <v/>
      </c>
      <c r="H38" s="5">
        <f>IFERROR(VLOOKUP(F38,DM_Mon_GDPT2018!$A$3:$G$20,3,FALSE),"")</f>
        <v/>
      </c>
      <c r="I38" s="5">
        <f>IFERROR(VLOOKUP(F38,DM_Mon_GDPT2018!$A$3:$G$20,5,FALSE),"")</f>
        <v/>
      </c>
      <c r="J38" s="6">
        <f>IF($I38="","",ROUND($I38*Huong_dan!$B$7/Huong_dan!$B$9,0))</f>
        <v/>
      </c>
      <c r="K38" s="6">
        <f>IF($I38="","",$I38-$J38)</f>
        <v/>
      </c>
      <c r="L38" s="6" t="n"/>
      <c r="M38" s="6">
        <f>IFERROR(VLOOKUP(L38,DM_Giao_vien!$A$3:$H$102,2,FALSE),"")</f>
        <v/>
      </c>
      <c r="N38" s="6">
        <f>IFERROR(VLOOKUP(L38,DM_Giao_vien!$A$3:$H$102,8,FALSE),"")</f>
        <v/>
      </c>
      <c r="O38" s="6" t="n"/>
      <c r="P38" s="6">
        <f>IFERROR(VLOOKUP(O38,DM_Giao_vien!$A$3:$H$102,2,FALSE),"")</f>
        <v/>
      </c>
      <c r="Q38" s="6">
        <f>IFERROR(VLOOKUP(O38,DM_Giao_vien!$A$3:$H$102,8,FALSE),"")</f>
        <v/>
      </c>
      <c r="R38" s="6" t="n"/>
    </row>
    <row r="39">
      <c r="A39" s="5" t="n">
        <v>37</v>
      </c>
      <c r="B39" s="6">
        <f>IF(D39="","",Huong_dan!$B$6)</f>
        <v/>
      </c>
      <c r="C39" s="5" t="n"/>
      <c r="D39" s="5" t="n"/>
      <c r="E39" s="5" t="n"/>
      <c r="F39" s="5" t="n"/>
      <c r="G39" s="5">
        <f>IFERROR(VLOOKUP(F39,DM_Mon_GDPT2018!$A$3:$G$20,2,FALSE),"")</f>
        <v/>
      </c>
      <c r="H39" s="5">
        <f>IFERROR(VLOOKUP(F39,DM_Mon_GDPT2018!$A$3:$G$20,3,FALSE),"")</f>
        <v/>
      </c>
      <c r="I39" s="5">
        <f>IFERROR(VLOOKUP(F39,DM_Mon_GDPT2018!$A$3:$G$20,5,FALSE),"")</f>
        <v/>
      </c>
      <c r="J39" s="6">
        <f>IF($I39="","",ROUND($I39*Huong_dan!$B$7/Huong_dan!$B$9,0))</f>
        <v/>
      </c>
      <c r="K39" s="6">
        <f>IF($I39="","",$I39-$J39)</f>
        <v/>
      </c>
      <c r="L39" s="6" t="n"/>
      <c r="M39" s="6">
        <f>IFERROR(VLOOKUP(L39,DM_Giao_vien!$A$3:$H$102,2,FALSE),"")</f>
        <v/>
      </c>
      <c r="N39" s="6">
        <f>IFERROR(VLOOKUP(L39,DM_Giao_vien!$A$3:$H$102,8,FALSE),"")</f>
        <v/>
      </c>
      <c r="O39" s="6" t="n"/>
      <c r="P39" s="6">
        <f>IFERROR(VLOOKUP(O39,DM_Giao_vien!$A$3:$H$102,2,FALSE),"")</f>
        <v/>
      </c>
      <c r="Q39" s="6">
        <f>IFERROR(VLOOKUP(O39,DM_Giao_vien!$A$3:$H$102,8,FALSE),"")</f>
        <v/>
      </c>
      <c r="R39" s="6" t="n"/>
    </row>
    <row r="40">
      <c r="A40" s="5" t="n">
        <v>38</v>
      </c>
      <c r="B40" s="6">
        <f>IF(D40="","",Huong_dan!$B$6)</f>
        <v/>
      </c>
      <c r="C40" s="5" t="n"/>
      <c r="D40" s="5" t="n"/>
      <c r="E40" s="5" t="n"/>
      <c r="F40" s="5" t="n"/>
      <c r="G40" s="5">
        <f>IFERROR(VLOOKUP(F40,DM_Mon_GDPT2018!$A$3:$G$20,2,FALSE),"")</f>
        <v/>
      </c>
      <c r="H40" s="5">
        <f>IFERROR(VLOOKUP(F40,DM_Mon_GDPT2018!$A$3:$G$20,3,FALSE),"")</f>
        <v/>
      </c>
      <c r="I40" s="5">
        <f>IFERROR(VLOOKUP(F40,DM_Mon_GDPT2018!$A$3:$G$20,5,FALSE),"")</f>
        <v/>
      </c>
      <c r="J40" s="6">
        <f>IF($I40="","",ROUND($I40*Huong_dan!$B$7/Huong_dan!$B$9,0))</f>
        <v/>
      </c>
      <c r="K40" s="6">
        <f>IF($I40="","",$I40-$J40)</f>
        <v/>
      </c>
      <c r="L40" s="6" t="n"/>
      <c r="M40" s="6">
        <f>IFERROR(VLOOKUP(L40,DM_Giao_vien!$A$3:$H$102,2,FALSE),"")</f>
        <v/>
      </c>
      <c r="N40" s="6">
        <f>IFERROR(VLOOKUP(L40,DM_Giao_vien!$A$3:$H$102,8,FALSE),"")</f>
        <v/>
      </c>
      <c r="O40" s="6" t="n"/>
      <c r="P40" s="6">
        <f>IFERROR(VLOOKUP(O40,DM_Giao_vien!$A$3:$H$102,2,FALSE),"")</f>
        <v/>
      </c>
      <c r="Q40" s="6">
        <f>IFERROR(VLOOKUP(O40,DM_Giao_vien!$A$3:$H$102,8,FALSE),"")</f>
        <v/>
      </c>
      <c r="R40" s="6" t="n"/>
    </row>
    <row r="41">
      <c r="A41" s="5" t="n">
        <v>39</v>
      </c>
      <c r="B41" s="6">
        <f>IF(D41="","",Huong_dan!$B$6)</f>
        <v/>
      </c>
      <c r="C41" s="5" t="n"/>
      <c r="D41" s="5" t="n"/>
      <c r="E41" s="5" t="n"/>
      <c r="F41" s="5" t="n"/>
      <c r="G41" s="5">
        <f>IFERROR(VLOOKUP(F41,DM_Mon_GDPT2018!$A$3:$G$20,2,FALSE),"")</f>
        <v/>
      </c>
      <c r="H41" s="5">
        <f>IFERROR(VLOOKUP(F41,DM_Mon_GDPT2018!$A$3:$G$20,3,FALSE),"")</f>
        <v/>
      </c>
      <c r="I41" s="5">
        <f>IFERROR(VLOOKUP(F41,DM_Mon_GDPT2018!$A$3:$G$20,5,FALSE),"")</f>
        <v/>
      </c>
      <c r="J41" s="6">
        <f>IF($I41="","",ROUND($I41*Huong_dan!$B$7/Huong_dan!$B$9,0))</f>
        <v/>
      </c>
      <c r="K41" s="6">
        <f>IF($I41="","",$I41-$J41)</f>
        <v/>
      </c>
      <c r="L41" s="6" t="n"/>
      <c r="M41" s="6">
        <f>IFERROR(VLOOKUP(L41,DM_Giao_vien!$A$3:$H$102,2,FALSE),"")</f>
        <v/>
      </c>
      <c r="N41" s="6">
        <f>IFERROR(VLOOKUP(L41,DM_Giao_vien!$A$3:$H$102,8,FALSE),"")</f>
        <v/>
      </c>
      <c r="O41" s="6" t="n"/>
      <c r="P41" s="6">
        <f>IFERROR(VLOOKUP(O41,DM_Giao_vien!$A$3:$H$102,2,FALSE),"")</f>
        <v/>
      </c>
      <c r="Q41" s="6">
        <f>IFERROR(VLOOKUP(O41,DM_Giao_vien!$A$3:$H$102,8,FALSE),"")</f>
        <v/>
      </c>
      <c r="R41" s="6" t="n"/>
    </row>
    <row r="42">
      <c r="A42" s="5" t="n">
        <v>40</v>
      </c>
      <c r="B42" s="6">
        <f>IF(D42="","",Huong_dan!$B$6)</f>
        <v/>
      </c>
      <c r="C42" s="5" t="n"/>
      <c r="D42" s="5" t="n"/>
      <c r="E42" s="5" t="n"/>
      <c r="F42" s="5" t="n"/>
      <c r="G42" s="5">
        <f>IFERROR(VLOOKUP(F42,DM_Mon_GDPT2018!$A$3:$G$20,2,FALSE),"")</f>
        <v/>
      </c>
      <c r="H42" s="5">
        <f>IFERROR(VLOOKUP(F42,DM_Mon_GDPT2018!$A$3:$G$20,3,FALSE),"")</f>
        <v/>
      </c>
      <c r="I42" s="5">
        <f>IFERROR(VLOOKUP(F42,DM_Mon_GDPT2018!$A$3:$G$20,5,FALSE),"")</f>
        <v/>
      </c>
      <c r="J42" s="6">
        <f>IF($I42="","",ROUND($I42*Huong_dan!$B$7/Huong_dan!$B$9,0))</f>
        <v/>
      </c>
      <c r="K42" s="6">
        <f>IF($I42="","",$I42-$J42)</f>
        <v/>
      </c>
      <c r="L42" s="6" t="n"/>
      <c r="M42" s="6">
        <f>IFERROR(VLOOKUP(L42,DM_Giao_vien!$A$3:$H$102,2,FALSE),"")</f>
        <v/>
      </c>
      <c r="N42" s="6">
        <f>IFERROR(VLOOKUP(L42,DM_Giao_vien!$A$3:$H$102,8,FALSE),"")</f>
        <v/>
      </c>
      <c r="O42" s="6" t="n"/>
      <c r="P42" s="6">
        <f>IFERROR(VLOOKUP(O42,DM_Giao_vien!$A$3:$H$102,2,FALSE),"")</f>
        <v/>
      </c>
      <c r="Q42" s="6">
        <f>IFERROR(VLOOKUP(O42,DM_Giao_vien!$A$3:$H$102,8,FALSE),"")</f>
        <v/>
      </c>
      <c r="R42" s="6" t="n"/>
    </row>
    <row r="43">
      <c r="A43" s="5" t="n">
        <v>41</v>
      </c>
      <c r="B43" s="6">
        <f>IF(D43="","",Huong_dan!$B$6)</f>
        <v/>
      </c>
      <c r="C43" s="5" t="n"/>
      <c r="D43" s="5" t="n"/>
      <c r="E43" s="5" t="n"/>
      <c r="F43" s="5" t="n"/>
      <c r="G43" s="5">
        <f>IFERROR(VLOOKUP(F43,DM_Mon_GDPT2018!$A$3:$G$20,2,FALSE),"")</f>
        <v/>
      </c>
      <c r="H43" s="5">
        <f>IFERROR(VLOOKUP(F43,DM_Mon_GDPT2018!$A$3:$G$20,3,FALSE),"")</f>
        <v/>
      </c>
      <c r="I43" s="5">
        <f>IFERROR(VLOOKUP(F43,DM_Mon_GDPT2018!$A$3:$G$20,5,FALSE),"")</f>
        <v/>
      </c>
      <c r="J43" s="6">
        <f>IF($I43="","",ROUND($I43*Huong_dan!$B$7/Huong_dan!$B$9,0))</f>
        <v/>
      </c>
      <c r="K43" s="6">
        <f>IF($I43="","",$I43-$J43)</f>
        <v/>
      </c>
      <c r="L43" s="6" t="n"/>
      <c r="M43" s="6">
        <f>IFERROR(VLOOKUP(L43,DM_Giao_vien!$A$3:$H$102,2,FALSE),"")</f>
        <v/>
      </c>
      <c r="N43" s="6">
        <f>IFERROR(VLOOKUP(L43,DM_Giao_vien!$A$3:$H$102,8,FALSE),"")</f>
        <v/>
      </c>
      <c r="O43" s="6" t="n"/>
      <c r="P43" s="6">
        <f>IFERROR(VLOOKUP(O43,DM_Giao_vien!$A$3:$H$102,2,FALSE),"")</f>
        <v/>
      </c>
      <c r="Q43" s="6">
        <f>IFERROR(VLOOKUP(O43,DM_Giao_vien!$A$3:$H$102,8,FALSE),"")</f>
        <v/>
      </c>
      <c r="R43" s="6" t="n"/>
    </row>
    <row r="44">
      <c r="A44" s="5" t="n">
        <v>42</v>
      </c>
      <c r="B44" s="6">
        <f>IF(D44="","",Huong_dan!$B$6)</f>
        <v/>
      </c>
      <c r="C44" s="5" t="n"/>
      <c r="D44" s="5" t="n"/>
      <c r="E44" s="5" t="n"/>
      <c r="F44" s="5" t="n"/>
      <c r="G44" s="5">
        <f>IFERROR(VLOOKUP(F44,DM_Mon_GDPT2018!$A$3:$G$20,2,FALSE),"")</f>
        <v/>
      </c>
      <c r="H44" s="5">
        <f>IFERROR(VLOOKUP(F44,DM_Mon_GDPT2018!$A$3:$G$20,3,FALSE),"")</f>
        <v/>
      </c>
      <c r="I44" s="5">
        <f>IFERROR(VLOOKUP(F44,DM_Mon_GDPT2018!$A$3:$G$20,5,FALSE),"")</f>
        <v/>
      </c>
      <c r="J44" s="6">
        <f>IF($I44="","",ROUND($I44*Huong_dan!$B$7/Huong_dan!$B$9,0))</f>
        <v/>
      </c>
      <c r="K44" s="6">
        <f>IF($I44="","",$I44-$J44)</f>
        <v/>
      </c>
      <c r="L44" s="6" t="n"/>
      <c r="M44" s="6">
        <f>IFERROR(VLOOKUP(L44,DM_Giao_vien!$A$3:$H$102,2,FALSE),"")</f>
        <v/>
      </c>
      <c r="N44" s="6">
        <f>IFERROR(VLOOKUP(L44,DM_Giao_vien!$A$3:$H$102,8,FALSE),"")</f>
        <v/>
      </c>
      <c r="O44" s="6" t="n"/>
      <c r="P44" s="6">
        <f>IFERROR(VLOOKUP(O44,DM_Giao_vien!$A$3:$H$102,2,FALSE),"")</f>
        <v/>
      </c>
      <c r="Q44" s="6">
        <f>IFERROR(VLOOKUP(O44,DM_Giao_vien!$A$3:$H$102,8,FALSE),"")</f>
        <v/>
      </c>
      <c r="R44" s="6" t="n"/>
    </row>
    <row r="45">
      <c r="A45" s="5" t="n">
        <v>43</v>
      </c>
      <c r="B45" s="6">
        <f>IF(D45="","",Huong_dan!$B$6)</f>
        <v/>
      </c>
      <c r="C45" s="5" t="n"/>
      <c r="D45" s="5" t="n"/>
      <c r="E45" s="5" t="n"/>
      <c r="F45" s="5" t="n"/>
      <c r="G45" s="5">
        <f>IFERROR(VLOOKUP(F45,DM_Mon_GDPT2018!$A$3:$G$20,2,FALSE),"")</f>
        <v/>
      </c>
      <c r="H45" s="5">
        <f>IFERROR(VLOOKUP(F45,DM_Mon_GDPT2018!$A$3:$G$20,3,FALSE),"")</f>
        <v/>
      </c>
      <c r="I45" s="5">
        <f>IFERROR(VLOOKUP(F45,DM_Mon_GDPT2018!$A$3:$G$20,5,FALSE),"")</f>
        <v/>
      </c>
      <c r="J45" s="6">
        <f>IF($I45="","",ROUND($I45*Huong_dan!$B$7/Huong_dan!$B$9,0))</f>
        <v/>
      </c>
      <c r="K45" s="6">
        <f>IF($I45="","",$I45-$J45)</f>
        <v/>
      </c>
      <c r="L45" s="6" t="n"/>
      <c r="M45" s="6">
        <f>IFERROR(VLOOKUP(L45,DM_Giao_vien!$A$3:$H$102,2,FALSE),"")</f>
        <v/>
      </c>
      <c r="N45" s="6">
        <f>IFERROR(VLOOKUP(L45,DM_Giao_vien!$A$3:$H$102,8,FALSE),"")</f>
        <v/>
      </c>
      <c r="O45" s="6" t="n"/>
      <c r="P45" s="6">
        <f>IFERROR(VLOOKUP(O45,DM_Giao_vien!$A$3:$H$102,2,FALSE),"")</f>
        <v/>
      </c>
      <c r="Q45" s="6">
        <f>IFERROR(VLOOKUP(O45,DM_Giao_vien!$A$3:$H$102,8,FALSE),"")</f>
        <v/>
      </c>
      <c r="R45" s="6" t="n"/>
    </row>
    <row r="46">
      <c r="A46" s="5" t="n">
        <v>44</v>
      </c>
      <c r="B46" s="6">
        <f>IF(D46="","",Huong_dan!$B$6)</f>
        <v/>
      </c>
      <c r="C46" s="5" t="n"/>
      <c r="D46" s="5" t="n"/>
      <c r="E46" s="5" t="n"/>
      <c r="F46" s="5" t="n"/>
      <c r="G46" s="5">
        <f>IFERROR(VLOOKUP(F46,DM_Mon_GDPT2018!$A$3:$G$20,2,FALSE),"")</f>
        <v/>
      </c>
      <c r="H46" s="5">
        <f>IFERROR(VLOOKUP(F46,DM_Mon_GDPT2018!$A$3:$G$20,3,FALSE),"")</f>
        <v/>
      </c>
      <c r="I46" s="5">
        <f>IFERROR(VLOOKUP(F46,DM_Mon_GDPT2018!$A$3:$G$20,5,FALSE),"")</f>
        <v/>
      </c>
      <c r="J46" s="6">
        <f>IF($I46="","",ROUND($I46*Huong_dan!$B$7/Huong_dan!$B$9,0))</f>
        <v/>
      </c>
      <c r="K46" s="6">
        <f>IF($I46="","",$I46-$J46)</f>
        <v/>
      </c>
      <c r="L46" s="6" t="n"/>
      <c r="M46" s="6">
        <f>IFERROR(VLOOKUP(L46,DM_Giao_vien!$A$3:$H$102,2,FALSE),"")</f>
        <v/>
      </c>
      <c r="N46" s="6">
        <f>IFERROR(VLOOKUP(L46,DM_Giao_vien!$A$3:$H$102,8,FALSE),"")</f>
        <v/>
      </c>
      <c r="O46" s="6" t="n"/>
      <c r="P46" s="6">
        <f>IFERROR(VLOOKUP(O46,DM_Giao_vien!$A$3:$H$102,2,FALSE),"")</f>
        <v/>
      </c>
      <c r="Q46" s="6">
        <f>IFERROR(VLOOKUP(O46,DM_Giao_vien!$A$3:$H$102,8,FALSE),"")</f>
        <v/>
      </c>
      <c r="R46" s="6" t="n"/>
    </row>
    <row r="47">
      <c r="A47" s="5" t="n">
        <v>45</v>
      </c>
      <c r="B47" s="6">
        <f>IF(D47="","",Huong_dan!$B$6)</f>
        <v/>
      </c>
      <c r="C47" s="5" t="n"/>
      <c r="D47" s="5" t="n"/>
      <c r="E47" s="5" t="n"/>
      <c r="F47" s="5" t="n"/>
      <c r="G47" s="5">
        <f>IFERROR(VLOOKUP(F47,DM_Mon_GDPT2018!$A$3:$G$20,2,FALSE),"")</f>
        <v/>
      </c>
      <c r="H47" s="5">
        <f>IFERROR(VLOOKUP(F47,DM_Mon_GDPT2018!$A$3:$G$20,3,FALSE),"")</f>
        <v/>
      </c>
      <c r="I47" s="5">
        <f>IFERROR(VLOOKUP(F47,DM_Mon_GDPT2018!$A$3:$G$20,5,FALSE),"")</f>
        <v/>
      </c>
      <c r="J47" s="6">
        <f>IF($I47="","",ROUND($I47*Huong_dan!$B$7/Huong_dan!$B$9,0))</f>
        <v/>
      </c>
      <c r="K47" s="6">
        <f>IF($I47="","",$I47-$J47)</f>
        <v/>
      </c>
      <c r="L47" s="6" t="n"/>
      <c r="M47" s="6">
        <f>IFERROR(VLOOKUP(L47,DM_Giao_vien!$A$3:$H$102,2,FALSE),"")</f>
        <v/>
      </c>
      <c r="N47" s="6">
        <f>IFERROR(VLOOKUP(L47,DM_Giao_vien!$A$3:$H$102,8,FALSE),"")</f>
        <v/>
      </c>
      <c r="O47" s="6" t="n"/>
      <c r="P47" s="6">
        <f>IFERROR(VLOOKUP(O47,DM_Giao_vien!$A$3:$H$102,2,FALSE),"")</f>
        <v/>
      </c>
      <c r="Q47" s="6">
        <f>IFERROR(VLOOKUP(O47,DM_Giao_vien!$A$3:$H$102,8,FALSE),"")</f>
        <v/>
      </c>
      <c r="R47" s="6" t="n"/>
    </row>
    <row r="48">
      <c r="A48" s="5" t="n">
        <v>46</v>
      </c>
      <c r="B48" s="6">
        <f>IF(D48="","",Huong_dan!$B$6)</f>
        <v/>
      </c>
      <c r="C48" s="5" t="n"/>
      <c r="D48" s="5" t="n"/>
      <c r="E48" s="5" t="n"/>
      <c r="F48" s="5" t="n"/>
      <c r="G48" s="5">
        <f>IFERROR(VLOOKUP(F48,DM_Mon_GDPT2018!$A$3:$G$20,2,FALSE),"")</f>
        <v/>
      </c>
      <c r="H48" s="5">
        <f>IFERROR(VLOOKUP(F48,DM_Mon_GDPT2018!$A$3:$G$20,3,FALSE),"")</f>
        <v/>
      </c>
      <c r="I48" s="5">
        <f>IFERROR(VLOOKUP(F48,DM_Mon_GDPT2018!$A$3:$G$20,5,FALSE),"")</f>
        <v/>
      </c>
      <c r="J48" s="6">
        <f>IF($I48="","",ROUND($I48*Huong_dan!$B$7/Huong_dan!$B$9,0))</f>
        <v/>
      </c>
      <c r="K48" s="6">
        <f>IF($I48="","",$I48-$J48)</f>
        <v/>
      </c>
      <c r="L48" s="6" t="n"/>
      <c r="M48" s="6">
        <f>IFERROR(VLOOKUP(L48,DM_Giao_vien!$A$3:$H$102,2,FALSE),"")</f>
        <v/>
      </c>
      <c r="N48" s="6">
        <f>IFERROR(VLOOKUP(L48,DM_Giao_vien!$A$3:$H$102,8,FALSE),"")</f>
        <v/>
      </c>
      <c r="O48" s="6" t="n"/>
      <c r="P48" s="6">
        <f>IFERROR(VLOOKUP(O48,DM_Giao_vien!$A$3:$H$102,2,FALSE),"")</f>
        <v/>
      </c>
      <c r="Q48" s="6">
        <f>IFERROR(VLOOKUP(O48,DM_Giao_vien!$A$3:$H$102,8,FALSE),"")</f>
        <v/>
      </c>
      <c r="R48" s="6" t="n"/>
    </row>
    <row r="49">
      <c r="A49" s="5" t="n">
        <v>47</v>
      </c>
      <c r="B49" s="6">
        <f>IF(D49="","",Huong_dan!$B$6)</f>
        <v/>
      </c>
      <c r="C49" s="5" t="n"/>
      <c r="D49" s="5" t="n"/>
      <c r="E49" s="5" t="n"/>
      <c r="F49" s="5" t="n"/>
      <c r="G49" s="5">
        <f>IFERROR(VLOOKUP(F49,DM_Mon_GDPT2018!$A$3:$G$20,2,FALSE),"")</f>
        <v/>
      </c>
      <c r="H49" s="5">
        <f>IFERROR(VLOOKUP(F49,DM_Mon_GDPT2018!$A$3:$G$20,3,FALSE),"")</f>
        <v/>
      </c>
      <c r="I49" s="5">
        <f>IFERROR(VLOOKUP(F49,DM_Mon_GDPT2018!$A$3:$G$20,5,FALSE),"")</f>
        <v/>
      </c>
      <c r="J49" s="6">
        <f>IF($I49="","",ROUND($I49*Huong_dan!$B$7/Huong_dan!$B$9,0))</f>
        <v/>
      </c>
      <c r="K49" s="6">
        <f>IF($I49="","",$I49-$J49)</f>
        <v/>
      </c>
      <c r="L49" s="6" t="n"/>
      <c r="M49" s="6">
        <f>IFERROR(VLOOKUP(L49,DM_Giao_vien!$A$3:$H$102,2,FALSE),"")</f>
        <v/>
      </c>
      <c r="N49" s="6">
        <f>IFERROR(VLOOKUP(L49,DM_Giao_vien!$A$3:$H$102,8,FALSE),"")</f>
        <v/>
      </c>
      <c r="O49" s="6" t="n"/>
      <c r="P49" s="6">
        <f>IFERROR(VLOOKUP(O49,DM_Giao_vien!$A$3:$H$102,2,FALSE),"")</f>
        <v/>
      </c>
      <c r="Q49" s="6">
        <f>IFERROR(VLOOKUP(O49,DM_Giao_vien!$A$3:$H$102,8,FALSE),"")</f>
        <v/>
      </c>
      <c r="R49" s="6" t="n"/>
    </row>
    <row r="50">
      <c r="A50" s="5" t="n">
        <v>48</v>
      </c>
      <c r="B50" s="6">
        <f>IF(D50="","",Huong_dan!$B$6)</f>
        <v/>
      </c>
      <c r="C50" s="5" t="n"/>
      <c r="D50" s="5" t="n"/>
      <c r="E50" s="5" t="n"/>
      <c r="F50" s="5" t="n"/>
      <c r="G50" s="5">
        <f>IFERROR(VLOOKUP(F50,DM_Mon_GDPT2018!$A$3:$G$20,2,FALSE),"")</f>
        <v/>
      </c>
      <c r="H50" s="5">
        <f>IFERROR(VLOOKUP(F50,DM_Mon_GDPT2018!$A$3:$G$20,3,FALSE),"")</f>
        <v/>
      </c>
      <c r="I50" s="5">
        <f>IFERROR(VLOOKUP(F50,DM_Mon_GDPT2018!$A$3:$G$20,5,FALSE),"")</f>
        <v/>
      </c>
      <c r="J50" s="6">
        <f>IF($I50="","",ROUND($I50*Huong_dan!$B$7/Huong_dan!$B$9,0))</f>
        <v/>
      </c>
      <c r="K50" s="6">
        <f>IF($I50="","",$I50-$J50)</f>
        <v/>
      </c>
      <c r="L50" s="6" t="n"/>
      <c r="M50" s="6">
        <f>IFERROR(VLOOKUP(L50,DM_Giao_vien!$A$3:$H$102,2,FALSE),"")</f>
        <v/>
      </c>
      <c r="N50" s="6">
        <f>IFERROR(VLOOKUP(L50,DM_Giao_vien!$A$3:$H$102,8,FALSE),"")</f>
        <v/>
      </c>
      <c r="O50" s="6" t="n"/>
      <c r="P50" s="6">
        <f>IFERROR(VLOOKUP(O50,DM_Giao_vien!$A$3:$H$102,2,FALSE),"")</f>
        <v/>
      </c>
      <c r="Q50" s="6">
        <f>IFERROR(VLOOKUP(O50,DM_Giao_vien!$A$3:$H$102,8,FALSE),"")</f>
        <v/>
      </c>
      <c r="R50" s="6" t="n"/>
    </row>
    <row r="51">
      <c r="A51" s="5" t="n">
        <v>49</v>
      </c>
      <c r="B51" s="6">
        <f>IF(D51="","",Huong_dan!$B$6)</f>
        <v/>
      </c>
      <c r="C51" s="5" t="n"/>
      <c r="D51" s="5" t="n"/>
      <c r="E51" s="5" t="n"/>
      <c r="F51" s="5" t="n"/>
      <c r="G51" s="5">
        <f>IFERROR(VLOOKUP(F51,DM_Mon_GDPT2018!$A$3:$G$20,2,FALSE),"")</f>
        <v/>
      </c>
      <c r="H51" s="5">
        <f>IFERROR(VLOOKUP(F51,DM_Mon_GDPT2018!$A$3:$G$20,3,FALSE),"")</f>
        <v/>
      </c>
      <c r="I51" s="5">
        <f>IFERROR(VLOOKUP(F51,DM_Mon_GDPT2018!$A$3:$G$20,5,FALSE),"")</f>
        <v/>
      </c>
      <c r="J51" s="6">
        <f>IF($I51="","",ROUND($I51*Huong_dan!$B$7/Huong_dan!$B$9,0))</f>
        <v/>
      </c>
      <c r="K51" s="6">
        <f>IF($I51="","",$I51-$J51)</f>
        <v/>
      </c>
      <c r="L51" s="6" t="n"/>
      <c r="M51" s="6">
        <f>IFERROR(VLOOKUP(L51,DM_Giao_vien!$A$3:$H$102,2,FALSE),"")</f>
        <v/>
      </c>
      <c r="N51" s="6">
        <f>IFERROR(VLOOKUP(L51,DM_Giao_vien!$A$3:$H$102,8,FALSE),"")</f>
        <v/>
      </c>
      <c r="O51" s="6" t="n"/>
      <c r="P51" s="6">
        <f>IFERROR(VLOOKUP(O51,DM_Giao_vien!$A$3:$H$102,2,FALSE),"")</f>
        <v/>
      </c>
      <c r="Q51" s="6">
        <f>IFERROR(VLOOKUP(O51,DM_Giao_vien!$A$3:$H$102,8,FALSE),"")</f>
        <v/>
      </c>
      <c r="R51" s="6" t="n"/>
    </row>
    <row r="52">
      <c r="A52" s="5" t="n">
        <v>50</v>
      </c>
      <c r="B52" s="6">
        <f>IF(D52="","",Huong_dan!$B$6)</f>
        <v/>
      </c>
      <c r="C52" s="5" t="n"/>
      <c r="D52" s="5" t="n"/>
      <c r="E52" s="5" t="n"/>
      <c r="F52" s="5" t="n"/>
      <c r="G52" s="5">
        <f>IFERROR(VLOOKUP(F52,DM_Mon_GDPT2018!$A$3:$G$20,2,FALSE),"")</f>
        <v/>
      </c>
      <c r="H52" s="5">
        <f>IFERROR(VLOOKUP(F52,DM_Mon_GDPT2018!$A$3:$G$20,3,FALSE),"")</f>
        <v/>
      </c>
      <c r="I52" s="5">
        <f>IFERROR(VLOOKUP(F52,DM_Mon_GDPT2018!$A$3:$G$20,5,FALSE),"")</f>
        <v/>
      </c>
      <c r="J52" s="6">
        <f>IF($I52="","",ROUND($I52*Huong_dan!$B$7/Huong_dan!$B$9,0))</f>
        <v/>
      </c>
      <c r="K52" s="6">
        <f>IF($I52="","",$I52-$J52)</f>
        <v/>
      </c>
      <c r="L52" s="6" t="n"/>
      <c r="M52" s="6">
        <f>IFERROR(VLOOKUP(L52,DM_Giao_vien!$A$3:$H$102,2,FALSE),"")</f>
        <v/>
      </c>
      <c r="N52" s="6">
        <f>IFERROR(VLOOKUP(L52,DM_Giao_vien!$A$3:$H$102,8,FALSE),"")</f>
        <v/>
      </c>
      <c r="O52" s="6" t="n"/>
      <c r="P52" s="6">
        <f>IFERROR(VLOOKUP(O52,DM_Giao_vien!$A$3:$H$102,2,FALSE),"")</f>
        <v/>
      </c>
      <c r="Q52" s="6">
        <f>IFERROR(VLOOKUP(O52,DM_Giao_vien!$A$3:$H$102,8,FALSE),"")</f>
        <v/>
      </c>
      <c r="R52" s="6" t="n"/>
    </row>
    <row r="53">
      <c r="A53" s="5" t="n">
        <v>51</v>
      </c>
      <c r="B53" s="6">
        <f>IF(D53="","",Huong_dan!$B$6)</f>
        <v/>
      </c>
      <c r="C53" s="5" t="n"/>
      <c r="D53" s="5" t="n"/>
      <c r="E53" s="5" t="n"/>
      <c r="F53" s="5" t="n"/>
      <c r="G53" s="5">
        <f>IFERROR(VLOOKUP(F53,DM_Mon_GDPT2018!$A$3:$G$20,2,FALSE),"")</f>
        <v/>
      </c>
      <c r="H53" s="5">
        <f>IFERROR(VLOOKUP(F53,DM_Mon_GDPT2018!$A$3:$G$20,3,FALSE),"")</f>
        <v/>
      </c>
      <c r="I53" s="5">
        <f>IFERROR(VLOOKUP(F53,DM_Mon_GDPT2018!$A$3:$G$20,5,FALSE),"")</f>
        <v/>
      </c>
      <c r="J53" s="6">
        <f>IF($I53="","",ROUND($I53*Huong_dan!$B$7/Huong_dan!$B$9,0))</f>
        <v/>
      </c>
      <c r="K53" s="6">
        <f>IF($I53="","",$I53-$J53)</f>
        <v/>
      </c>
      <c r="L53" s="6" t="n"/>
      <c r="M53" s="6">
        <f>IFERROR(VLOOKUP(L53,DM_Giao_vien!$A$3:$H$102,2,FALSE),"")</f>
        <v/>
      </c>
      <c r="N53" s="6">
        <f>IFERROR(VLOOKUP(L53,DM_Giao_vien!$A$3:$H$102,8,FALSE),"")</f>
        <v/>
      </c>
      <c r="O53" s="6" t="n"/>
      <c r="P53" s="6">
        <f>IFERROR(VLOOKUP(O53,DM_Giao_vien!$A$3:$H$102,2,FALSE),"")</f>
        <v/>
      </c>
      <c r="Q53" s="6">
        <f>IFERROR(VLOOKUP(O53,DM_Giao_vien!$A$3:$H$102,8,FALSE),"")</f>
        <v/>
      </c>
      <c r="R53" s="6" t="n"/>
    </row>
    <row r="54">
      <c r="A54" s="5" t="n">
        <v>52</v>
      </c>
      <c r="B54" s="6">
        <f>IF(D54="","",Huong_dan!$B$6)</f>
        <v/>
      </c>
      <c r="C54" s="5" t="n"/>
      <c r="D54" s="5" t="n"/>
      <c r="E54" s="5" t="n"/>
      <c r="F54" s="5" t="n"/>
      <c r="G54" s="5">
        <f>IFERROR(VLOOKUP(F54,DM_Mon_GDPT2018!$A$3:$G$20,2,FALSE),"")</f>
        <v/>
      </c>
      <c r="H54" s="5">
        <f>IFERROR(VLOOKUP(F54,DM_Mon_GDPT2018!$A$3:$G$20,3,FALSE),"")</f>
        <v/>
      </c>
      <c r="I54" s="5">
        <f>IFERROR(VLOOKUP(F54,DM_Mon_GDPT2018!$A$3:$G$20,5,FALSE),"")</f>
        <v/>
      </c>
      <c r="J54" s="6">
        <f>IF($I54="","",ROUND($I54*Huong_dan!$B$7/Huong_dan!$B$9,0))</f>
        <v/>
      </c>
      <c r="K54" s="6">
        <f>IF($I54="","",$I54-$J54)</f>
        <v/>
      </c>
      <c r="L54" s="6" t="n"/>
      <c r="M54" s="6">
        <f>IFERROR(VLOOKUP(L54,DM_Giao_vien!$A$3:$H$102,2,FALSE),"")</f>
        <v/>
      </c>
      <c r="N54" s="6">
        <f>IFERROR(VLOOKUP(L54,DM_Giao_vien!$A$3:$H$102,8,FALSE),"")</f>
        <v/>
      </c>
      <c r="O54" s="6" t="n"/>
      <c r="P54" s="6">
        <f>IFERROR(VLOOKUP(O54,DM_Giao_vien!$A$3:$H$102,2,FALSE),"")</f>
        <v/>
      </c>
      <c r="Q54" s="6">
        <f>IFERROR(VLOOKUP(O54,DM_Giao_vien!$A$3:$H$102,8,FALSE),"")</f>
        <v/>
      </c>
      <c r="R54" s="6" t="n"/>
    </row>
    <row r="55">
      <c r="A55" s="5" t="n">
        <v>53</v>
      </c>
      <c r="B55" s="6">
        <f>IF(D55="","",Huong_dan!$B$6)</f>
        <v/>
      </c>
      <c r="C55" s="5" t="n"/>
      <c r="D55" s="5" t="n"/>
      <c r="E55" s="5" t="n"/>
      <c r="F55" s="5" t="n"/>
      <c r="G55" s="5">
        <f>IFERROR(VLOOKUP(F55,DM_Mon_GDPT2018!$A$3:$G$20,2,FALSE),"")</f>
        <v/>
      </c>
      <c r="H55" s="5">
        <f>IFERROR(VLOOKUP(F55,DM_Mon_GDPT2018!$A$3:$G$20,3,FALSE),"")</f>
        <v/>
      </c>
      <c r="I55" s="5">
        <f>IFERROR(VLOOKUP(F55,DM_Mon_GDPT2018!$A$3:$G$20,5,FALSE),"")</f>
        <v/>
      </c>
      <c r="J55" s="6">
        <f>IF($I55="","",ROUND($I55*Huong_dan!$B$7/Huong_dan!$B$9,0))</f>
        <v/>
      </c>
      <c r="K55" s="6">
        <f>IF($I55="","",$I55-$J55)</f>
        <v/>
      </c>
      <c r="L55" s="6" t="n"/>
      <c r="M55" s="6">
        <f>IFERROR(VLOOKUP(L55,DM_Giao_vien!$A$3:$H$102,2,FALSE),"")</f>
        <v/>
      </c>
      <c r="N55" s="6">
        <f>IFERROR(VLOOKUP(L55,DM_Giao_vien!$A$3:$H$102,8,FALSE),"")</f>
        <v/>
      </c>
      <c r="O55" s="6" t="n"/>
      <c r="P55" s="6">
        <f>IFERROR(VLOOKUP(O55,DM_Giao_vien!$A$3:$H$102,2,FALSE),"")</f>
        <v/>
      </c>
      <c r="Q55" s="6">
        <f>IFERROR(VLOOKUP(O55,DM_Giao_vien!$A$3:$H$102,8,FALSE),"")</f>
        <v/>
      </c>
      <c r="R55" s="6" t="n"/>
    </row>
    <row r="56">
      <c r="A56" s="5" t="n">
        <v>54</v>
      </c>
      <c r="B56" s="6">
        <f>IF(D56="","",Huong_dan!$B$6)</f>
        <v/>
      </c>
      <c r="C56" s="5" t="n"/>
      <c r="D56" s="5" t="n"/>
      <c r="E56" s="5" t="n"/>
      <c r="F56" s="5" t="n"/>
      <c r="G56" s="5">
        <f>IFERROR(VLOOKUP(F56,DM_Mon_GDPT2018!$A$3:$G$20,2,FALSE),"")</f>
        <v/>
      </c>
      <c r="H56" s="5">
        <f>IFERROR(VLOOKUP(F56,DM_Mon_GDPT2018!$A$3:$G$20,3,FALSE),"")</f>
        <v/>
      </c>
      <c r="I56" s="5">
        <f>IFERROR(VLOOKUP(F56,DM_Mon_GDPT2018!$A$3:$G$20,5,FALSE),"")</f>
        <v/>
      </c>
      <c r="J56" s="6">
        <f>IF($I56="","",ROUND($I56*Huong_dan!$B$7/Huong_dan!$B$9,0))</f>
        <v/>
      </c>
      <c r="K56" s="6">
        <f>IF($I56="","",$I56-$J56)</f>
        <v/>
      </c>
      <c r="L56" s="6" t="n"/>
      <c r="M56" s="6">
        <f>IFERROR(VLOOKUP(L56,DM_Giao_vien!$A$3:$H$102,2,FALSE),"")</f>
        <v/>
      </c>
      <c r="N56" s="6">
        <f>IFERROR(VLOOKUP(L56,DM_Giao_vien!$A$3:$H$102,8,FALSE),"")</f>
        <v/>
      </c>
      <c r="O56" s="6" t="n"/>
      <c r="P56" s="6">
        <f>IFERROR(VLOOKUP(O56,DM_Giao_vien!$A$3:$H$102,2,FALSE),"")</f>
        <v/>
      </c>
      <c r="Q56" s="6">
        <f>IFERROR(VLOOKUP(O56,DM_Giao_vien!$A$3:$H$102,8,FALSE),"")</f>
        <v/>
      </c>
      <c r="R56" s="6" t="n"/>
    </row>
    <row r="57">
      <c r="A57" s="5" t="n">
        <v>55</v>
      </c>
      <c r="B57" s="6">
        <f>IF(D57="","",Huong_dan!$B$6)</f>
        <v/>
      </c>
      <c r="C57" s="5" t="n"/>
      <c r="D57" s="5" t="n"/>
      <c r="E57" s="5" t="n"/>
      <c r="F57" s="5" t="n"/>
      <c r="G57" s="5">
        <f>IFERROR(VLOOKUP(F57,DM_Mon_GDPT2018!$A$3:$G$20,2,FALSE),"")</f>
        <v/>
      </c>
      <c r="H57" s="5">
        <f>IFERROR(VLOOKUP(F57,DM_Mon_GDPT2018!$A$3:$G$20,3,FALSE),"")</f>
        <v/>
      </c>
      <c r="I57" s="5">
        <f>IFERROR(VLOOKUP(F57,DM_Mon_GDPT2018!$A$3:$G$20,5,FALSE),"")</f>
        <v/>
      </c>
      <c r="J57" s="6">
        <f>IF($I57="","",ROUND($I57*Huong_dan!$B$7/Huong_dan!$B$9,0))</f>
        <v/>
      </c>
      <c r="K57" s="6">
        <f>IF($I57="","",$I57-$J57)</f>
        <v/>
      </c>
      <c r="L57" s="6" t="n"/>
      <c r="M57" s="6">
        <f>IFERROR(VLOOKUP(L57,DM_Giao_vien!$A$3:$H$102,2,FALSE),"")</f>
        <v/>
      </c>
      <c r="N57" s="6">
        <f>IFERROR(VLOOKUP(L57,DM_Giao_vien!$A$3:$H$102,8,FALSE),"")</f>
        <v/>
      </c>
      <c r="O57" s="6" t="n"/>
      <c r="P57" s="6">
        <f>IFERROR(VLOOKUP(O57,DM_Giao_vien!$A$3:$H$102,2,FALSE),"")</f>
        <v/>
      </c>
      <c r="Q57" s="6">
        <f>IFERROR(VLOOKUP(O57,DM_Giao_vien!$A$3:$H$102,8,FALSE),"")</f>
        <v/>
      </c>
      <c r="R57" s="6" t="n"/>
    </row>
    <row r="58">
      <c r="A58" s="5" t="n">
        <v>56</v>
      </c>
      <c r="B58" s="6">
        <f>IF(D58="","",Huong_dan!$B$6)</f>
        <v/>
      </c>
      <c r="C58" s="5" t="n"/>
      <c r="D58" s="5" t="n"/>
      <c r="E58" s="5" t="n"/>
      <c r="F58" s="5" t="n"/>
      <c r="G58" s="5">
        <f>IFERROR(VLOOKUP(F58,DM_Mon_GDPT2018!$A$3:$G$20,2,FALSE),"")</f>
        <v/>
      </c>
      <c r="H58" s="5">
        <f>IFERROR(VLOOKUP(F58,DM_Mon_GDPT2018!$A$3:$G$20,3,FALSE),"")</f>
        <v/>
      </c>
      <c r="I58" s="5">
        <f>IFERROR(VLOOKUP(F58,DM_Mon_GDPT2018!$A$3:$G$20,5,FALSE),"")</f>
        <v/>
      </c>
      <c r="J58" s="6">
        <f>IF($I58="","",ROUND($I58*Huong_dan!$B$7/Huong_dan!$B$9,0))</f>
        <v/>
      </c>
      <c r="K58" s="6">
        <f>IF($I58="","",$I58-$J58)</f>
        <v/>
      </c>
      <c r="L58" s="6" t="n"/>
      <c r="M58" s="6">
        <f>IFERROR(VLOOKUP(L58,DM_Giao_vien!$A$3:$H$102,2,FALSE),"")</f>
        <v/>
      </c>
      <c r="N58" s="6">
        <f>IFERROR(VLOOKUP(L58,DM_Giao_vien!$A$3:$H$102,8,FALSE),"")</f>
        <v/>
      </c>
      <c r="O58" s="6" t="n"/>
      <c r="P58" s="6">
        <f>IFERROR(VLOOKUP(O58,DM_Giao_vien!$A$3:$H$102,2,FALSE),"")</f>
        <v/>
      </c>
      <c r="Q58" s="6">
        <f>IFERROR(VLOOKUP(O58,DM_Giao_vien!$A$3:$H$102,8,FALSE),"")</f>
        <v/>
      </c>
      <c r="R58" s="6" t="n"/>
    </row>
    <row r="59">
      <c r="A59" s="5" t="n">
        <v>57</v>
      </c>
      <c r="B59" s="6">
        <f>IF(D59="","",Huong_dan!$B$6)</f>
        <v/>
      </c>
      <c r="C59" s="5" t="n"/>
      <c r="D59" s="5" t="n"/>
      <c r="E59" s="5" t="n"/>
      <c r="F59" s="5" t="n"/>
      <c r="G59" s="5">
        <f>IFERROR(VLOOKUP(F59,DM_Mon_GDPT2018!$A$3:$G$20,2,FALSE),"")</f>
        <v/>
      </c>
      <c r="H59" s="5">
        <f>IFERROR(VLOOKUP(F59,DM_Mon_GDPT2018!$A$3:$G$20,3,FALSE),"")</f>
        <v/>
      </c>
      <c r="I59" s="5">
        <f>IFERROR(VLOOKUP(F59,DM_Mon_GDPT2018!$A$3:$G$20,5,FALSE),"")</f>
        <v/>
      </c>
      <c r="J59" s="6">
        <f>IF($I59="","",ROUND($I59*Huong_dan!$B$7/Huong_dan!$B$9,0))</f>
        <v/>
      </c>
      <c r="K59" s="6">
        <f>IF($I59="","",$I59-$J59)</f>
        <v/>
      </c>
      <c r="L59" s="6" t="n"/>
      <c r="M59" s="6">
        <f>IFERROR(VLOOKUP(L59,DM_Giao_vien!$A$3:$H$102,2,FALSE),"")</f>
        <v/>
      </c>
      <c r="N59" s="6">
        <f>IFERROR(VLOOKUP(L59,DM_Giao_vien!$A$3:$H$102,8,FALSE),"")</f>
        <v/>
      </c>
      <c r="O59" s="6" t="n"/>
      <c r="P59" s="6">
        <f>IFERROR(VLOOKUP(O59,DM_Giao_vien!$A$3:$H$102,2,FALSE),"")</f>
        <v/>
      </c>
      <c r="Q59" s="6">
        <f>IFERROR(VLOOKUP(O59,DM_Giao_vien!$A$3:$H$102,8,FALSE),"")</f>
        <v/>
      </c>
      <c r="R59" s="6" t="n"/>
    </row>
    <row r="60">
      <c r="A60" s="5" t="n">
        <v>58</v>
      </c>
      <c r="B60" s="6">
        <f>IF(D60="","",Huong_dan!$B$6)</f>
        <v/>
      </c>
      <c r="C60" s="5" t="n"/>
      <c r="D60" s="5" t="n"/>
      <c r="E60" s="5" t="n"/>
      <c r="F60" s="5" t="n"/>
      <c r="G60" s="5">
        <f>IFERROR(VLOOKUP(F60,DM_Mon_GDPT2018!$A$3:$G$20,2,FALSE),"")</f>
        <v/>
      </c>
      <c r="H60" s="5">
        <f>IFERROR(VLOOKUP(F60,DM_Mon_GDPT2018!$A$3:$G$20,3,FALSE),"")</f>
        <v/>
      </c>
      <c r="I60" s="5">
        <f>IFERROR(VLOOKUP(F60,DM_Mon_GDPT2018!$A$3:$G$20,5,FALSE),"")</f>
        <v/>
      </c>
      <c r="J60" s="6">
        <f>IF($I60="","",ROUND($I60*Huong_dan!$B$7/Huong_dan!$B$9,0))</f>
        <v/>
      </c>
      <c r="K60" s="6">
        <f>IF($I60="","",$I60-$J60)</f>
        <v/>
      </c>
      <c r="L60" s="6" t="n"/>
      <c r="M60" s="6">
        <f>IFERROR(VLOOKUP(L60,DM_Giao_vien!$A$3:$H$102,2,FALSE),"")</f>
        <v/>
      </c>
      <c r="N60" s="6">
        <f>IFERROR(VLOOKUP(L60,DM_Giao_vien!$A$3:$H$102,8,FALSE),"")</f>
        <v/>
      </c>
      <c r="O60" s="6" t="n"/>
      <c r="P60" s="6">
        <f>IFERROR(VLOOKUP(O60,DM_Giao_vien!$A$3:$H$102,2,FALSE),"")</f>
        <v/>
      </c>
      <c r="Q60" s="6">
        <f>IFERROR(VLOOKUP(O60,DM_Giao_vien!$A$3:$H$102,8,FALSE),"")</f>
        <v/>
      </c>
      <c r="R60" s="6" t="n"/>
    </row>
    <row r="61">
      <c r="A61" s="5" t="n">
        <v>59</v>
      </c>
      <c r="B61" s="6">
        <f>IF(D61="","",Huong_dan!$B$6)</f>
        <v/>
      </c>
      <c r="C61" s="5" t="n"/>
      <c r="D61" s="5" t="n"/>
      <c r="E61" s="5" t="n"/>
      <c r="F61" s="5" t="n"/>
      <c r="G61" s="5">
        <f>IFERROR(VLOOKUP(F61,DM_Mon_GDPT2018!$A$3:$G$20,2,FALSE),"")</f>
        <v/>
      </c>
      <c r="H61" s="5">
        <f>IFERROR(VLOOKUP(F61,DM_Mon_GDPT2018!$A$3:$G$20,3,FALSE),"")</f>
        <v/>
      </c>
      <c r="I61" s="5">
        <f>IFERROR(VLOOKUP(F61,DM_Mon_GDPT2018!$A$3:$G$20,5,FALSE),"")</f>
        <v/>
      </c>
      <c r="J61" s="6">
        <f>IF($I61="","",ROUND($I61*Huong_dan!$B$7/Huong_dan!$B$9,0))</f>
        <v/>
      </c>
      <c r="K61" s="6">
        <f>IF($I61="","",$I61-$J61)</f>
        <v/>
      </c>
      <c r="L61" s="6" t="n"/>
      <c r="M61" s="6">
        <f>IFERROR(VLOOKUP(L61,DM_Giao_vien!$A$3:$H$102,2,FALSE),"")</f>
        <v/>
      </c>
      <c r="N61" s="6">
        <f>IFERROR(VLOOKUP(L61,DM_Giao_vien!$A$3:$H$102,8,FALSE),"")</f>
        <v/>
      </c>
      <c r="O61" s="6" t="n"/>
      <c r="P61" s="6">
        <f>IFERROR(VLOOKUP(O61,DM_Giao_vien!$A$3:$H$102,2,FALSE),"")</f>
        <v/>
      </c>
      <c r="Q61" s="6">
        <f>IFERROR(VLOOKUP(O61,DM_Giao_vien!$A$3:$H$102,8,FALSE),"")</f>
        <v/>
      </c>
      <c r="R61" s="6" t="n"/>
    </row>
    <row r="62">
      <c r="A62" s="5" t="n">
        <v>60</v>
      </c>
      <c r="B62" s="6">
        <f>IF(D62="","",Huong_dan!$B$6)</f>
        <v/>
      </c>
      <c r="C62" s="5" t="n"/>
      <c r="D62" s="5" t="n"/>
      <c r="E62" s="5" t="n"/>
      <c r="F62" s="5" t="n"/>
      <c r="G62" s="5">
        <f>IFERROR(VLOOKUP(F62,DM_Mon_GDPT2018!$A$3:$G$20,2,FALSE),"")</f>
        <v/>
      </c>
      <c r="H62" s="5">
        <f>IFERROR(VLOOKUP(F62,DM_Mon_GDPT2018!$A$3:$G$20,3,FALSE),"")</f>
        <v/>
      </c>
      <c r="I62" s="5">
        <f>IFERROR(VLOOKUP(F62,DM_Mon_GDPT2018!$A$3:$G$20,5,FALSE),"")</f>
        <v/>
      </c>
      <c r="J62" s="6">
        <f>IF($I62="","",ROUND($I62*Huong_dan!$B$7/Huong_dan!$B$9,0))</f>
        <v/>
      </c>
      <c r="K62" s="6">
        <f>IF($I62="","",$I62-$J62)</f>
        <v/>
      </c>
      <c r="L62" s="6" t="n"/>
      <c r="M62" s="6">
        <f>IFERROR(VLOOKUP(L62,DM_Giao_vien!$A$3:$H$102,2,FALSE),"")</f>
        <v/>
      </c>
      <c r="N62" s="6">
        <f>IFERROR(VLOOKUP(L62,DM_Giao_vien!$A$3:$H$102,8,FALSE),"")</f>
        <v/>
      </c>
      <c r="O62" s="6" t="n"/>
      <c r="P62" s="6">
        <f>IFERROR(VLOOKUP(O62,DM_Giao_vien!$A$3:$H$102,2,FALSE),"")</f>
        <v/>
      </c>
      <c r="Q62" s="6">
        <f>IFERROR(VLOOKUP(O62,DM_Giao_vien!$A$3:$H$102,8,FALSE),"")</f>
        <v/>
      </c>
      <c r="R62" s="6" t="n"/>
    </row>
    <row r="63">
      <c r="A63" s="5" t="n">
        <v>61</v>
      </c>
      <c r="B63" s="6">
        <f>IF(D63="","",Huong_dan!$B$6)</f>
        <v/>
      </c>
      <c r="C63" s="5" t="n"/>
      <c r="D63" s="5" t="n"/>
      <c r="E63" s="5" t="n"/>
      <c r="F63" s="5" t="n"/>
      <c r="G63" s="5">
        <f>IFERROR(VLOOKUP(F63,DM_Mon_GDPT2018!$A$3:$G$20,2,FALSE),"")</f>
        <v/>
      </c>
      <c r="H63" s="5">
        <f>IFERROR(VLOOKUP(F63,DM_Mon_GDPT2018!$A$3:$G$20,3,FALSE),"")</f>
        <v/>
      </c>
      <c r="I63" s="5">
        <f>IFERROR(VLOOKUP(F63,DM_Mon_GDPT2018!$A$3:$G$20,5,FALSE),"")</f>
        <v/>
      </c>
      <c r="J63" s="6">
        <f>IF($I63="","",ROUND($I63*Huong_dan!$B$7/Huong_dan!$B$9,0))</f>
        <v/>
      </c>
      <c r="K63" s="6">
        <f>IF($I63="","",$I63-$J63)</f>
        <v/>
      </c>
      <c r="L63" s="6" t="n"/>
      <c r="M63" s="6">
        <f>IFERROR(VLOOKUP(L63,DM_Giao_vien!$A$3:$H$102,2,FALSE),"")</f>
        <v/>
      </c>
      <c r="N63" s="6">
        <f>IFERROR(VLOOKUP(L63,DM_Giao_vien!$A$3:$H$102,8,FALSE),"")</f>
        <v/>
      </c>
      <c r="O63" s="6" t="n"/>
      <c r="P63" s="6">
        <f>IFERROR(VLOOKUP(O63,DM_Giao_vien!$A$3:$H$102,2,FALSE),"")</f>
        <v/>
      </c>
      <c r="Q63" s="6">
        <f>IFERROR(VLOOKUP(O63,DM_Giao_vien!$A$3:$H$102,8,FALSE),"")</f>
        <v/>
      </c>
      <c r="R63" s="6" t="n"/>
    </row>
    <row r="64">
      <c r="A64" s="5" t="n">
        <v>62</v>
      </c>
      <c r="B64" s="6">
        <f>IF(D64="","",Huong_dan!$B$6)</f>
        <v/>
      </c>
      <c r="C64" s="5" t="n"/>
      <c r="D64" s="5" t="n"/>
      <c r="E64" s="5" t="n"/>
      <c r="F64" s="5" t="n"/>
      <c r="G64" s="5">
        <f>IFERROR(VLOOKUP(F64,DM_Mon_GDPT2018!$A$3:$G$20,2,FALSE),"")</f>
        <v/>
      </c>
      <c r="H64" s="5">
        <f>IFERROR(VLOOKUP(F64,DM_Mon_GDPT2018!$A$3:$G$20,3,FALSE),"")</f>
        <v/>
      </c>
      <c r="I64" s="5">
        <f>IFERROR(VLOOKUP(F64,DM_Mon_GDPT2018!$A$3:$G$20,5,FALSE),"")</f>
        <v/>
      </c>
      <c r="J64" s="6">
        <f>IF($I64="","",ROUND($I64*Huong_dan!$B$7/Huong_dan!$B$9,0))</f>
        <v/>
      </c>
      <c r="K64" s="6">
        <f>IF($I64="","",$I64-$J64)</f>
        <v/>
      </c>
      <c r="L64" s="6" t="n"/>
      <c r="M64" s="6">
        <f>IFERROR(VLOOKUP(L64,DM_Giao_vien!$A$3:$H$102,2,FALSE),"")</f>
        <v/>
      </c>
      <c r="N64" s="6">
        <f>IFERROR(VLOOKUP(L64,DM_Giao_vien!$A$3:$H$102,8,FALSE),"")</f>
        <v/>
      </c>
      <c r="O64" s="6" t="n"/>
      <c r="P64" s="6">
        <f>IFERROR(VLOOKUP(O64,DM_Giao_vien!$A$3:$H$102,2,FALSE),"")</f>
        <v/>
      </c>
      <c r="Q64" s="6">
        <f>IFERROR(VLOOKUP(O64,DM_Giao_vien!$A$3:$H$102,8,FALSE),"")</f>
        <v/>
      </c>
      <c r="R64" s="6" t="n"/>
    </row>
    <row r="65">
      <c r="A65" s="5" t="n">
        <v>63</v>
      </c>
      <c r="B65" s="6">
        <f>IF(D65="","",Huong_dan!$B$6)</f>
        <v/>
      </c>
      <c r="C65" s="5" t="n"/>
      <c r="D65" s="5" t="n"/>
      <c r="E65" s="5" t="n"/>
      <c r="F65" s="5" t="n"/>
      <c r="G65" s="5">
        <f>IFERROR(VLOOKUP(F65,DM_Mon_GDPT2018!$A$3:$G$20,2,FALSE),"")</f>
        <v/>
      </c>
      <c r="H65" s="5">
        <f>IFERROR(VLOOKUP(F65,DM_Mon_GDPT2018!$A$3:$G$20,3,FALSE),"")</f>
        <v/>
      </c>
      <c r="I65" s="5">
        <f>IFERROR(VLOOKUP(F65,DM_Mon_GDPT2018!$A$3:$G$20,5,FALSE),"")</f>
        <v/>
      </c>
      <c r="J65" s="6">
        <f>IF($I65="","",ROUND($I65*Huong_dan!$B$7/Huong_dan!$B$9,0))</f>
        <v/>
      </c>
      <c r="K65" s="6">
        <f>IF($I65="","",$I65-$J65)</f>
        <v/>
      </c>
      <c r="L65" s="6" t="n"/>
      <c r="M65" s="6">
        <f>IFERROR(VLOOKUP(L65,DM_Giao_vien!$A$3:$H$102,2,FALSE),"")</f>
        <v/>
      </c>
      <c r="N65" s="6">
        <f>IFERROR(VLOOKUP(L65,DM_Giao_vien!$A$3:$H$102,8,FALSE),"")</f>
        <v/>
      </c>
      <c r="O65" s="6" t="n"/>
      <c r="P65" s="6">
        <f>IFERROR(VLOOKUP(O65,DM_Giao_vien!$A$3:$H$102,2,FALSE),"")</f>
        <v/>
      </c>
      <c r="Q65" s="6">
        <f>IFERROR(VLOOKUP(O65,DM_Giao_vien!$A$3:$H$102,8,FALSE),"")</f>
        <v/>
      </c>
      <c r="R65" s="6" t="n"/>
    </row>
    <row r="66">
      <c r="A66" s="5" t="n">
        <v>64</v>
      </c>
      <c r="B66" s="6">
        <f>IF(D66="","",Huong_dan!$B$6)</f>
        <v/>
      </c>
      <c r="C66" s="5" t="n"/>
      <c r="D66" s="5" t="n"/>
      <c r="E66" s="5" t="n"/>
      <c r="F66" s="5" t="n"/>
      <c r="G66" s="5">
        <f>IFERROR(VLOOKUP(F66,DM_Mon_GDPT2018!$A$3:$G$20,2,FALSE),"")</f>
        <v/>
      </c>
      <c r="H66" s="5">
        <f>IFERROR(VLOOKUP(F66,DM_Mon_GDPT2018!$A$3:$G$20,3,FALSE),"")</f>
        <v/>
      </c>
      <c r="I66" s="5">
        <f>IFERROR(VLOOKUP(F66,DM_Mon_GDPT2018!$A$3:$G$20,5,FALSE),"")</f>
        <v/>
      </c>
      <c r="J66" s="6">
        <f>IF($I66="","",ROUND($I66*Huong_dan!$B$7/Huong_dan!$B$9,0))</f>
        <v/>
      </c>
      <c r="K66" s="6">
        <f>IF($I66="","",$I66-$J66)</f>
        <v/>
      </c>
      <c r="L66" s="6" t="n"/>
      <c r="M66" s="6">
        <f>IFERROR(VLOOKUP(L66,DM_Giao_vien!$A$3:$H$102,2,FALSE),"")</f>
        <v/>
      </c>
      <c r="N66" s="6">
        <f>IFERROR(VLOOKUP(L66,DM_Giao_vien!$A$3:$H$102,8,FALSE),"")</f>
        <v/>
      </c>
      <c r="O66" s="6" t="n"/>
      <c r="P66" s="6">
        <f>IFERROR(VLOOKUP(O66,DM_Giao_vien!$A$3:$H$102,2,FALSE),"")</f>
        <v/>
      </c>
      <c r="Q66" s="6">
        <f>IFERROR(VLOOKUP(O66,DM_Giao_vien!$A$3:$H$102,8,FALSE),"")</f>
        <v/>
      </c>
      <c r="R66" s="6" t="n"/>
    </row>
    <row r="67">
      <c r="A67" s="5" t="n">
        <v>65</v>
      </c>
      <c r="B67" s="6">
        <f>IF(D67="","",Huong_dan!$B$6)</f>
        <v/>
      </c>
      <c r="C67" s="5" t="n"/>
      <c r="D67" s="5" t="n"/>
      <c r="E67" s="5" t="n"/>
      <c r="F67" s="5" t="n"/>
      <c r="G67" s="5">
        <f>IFERROR(VLOOKUP(F67,DM_Mon_GDPT2018!$A$3:$G$20,2,FALSE),"")</f>
        <v/>
      </c>
      <c r="H67" s="5">
        <f>IFERROR(VLOOKUP(F67,DM_Mon_GDPT2018!$A$3:$G$20,3,FALSE),"")</f>
        <v/>
      </c>
      <c r="I67" s="5">
        <f>IFERROR(VLOOKUP(F67,DM_Mon_GDPT2018!$A$3:$G$20,5,FALSE),"")</f>
        <v/>
      </c>
      <c r="J67" s="6">
        <f>IF($I67="","",ROUND($I67*Huong_dan!$B$7/Huong_dan!$B$9,0))</f>
        <v/>
      </c>
      <c r="K67" s="6">
        <f>IF($I67="","",$I67-$J67)</f>
        <v/>
      </c>
      <c r="L67" s="6" t="n"/>
      <c r="M67" s="6">
        <f>IFERROR(VLOOKUP(L67,DM_Giao_vien!$A$3:$H$102,2,FALSE),"")</f>
        <v/>
      </c>
      <c r="N67" s="6">
        <f>IFERROR(VLOOKUP(L67,DM_Giao_vien!$A$3:$H$102,8,FALSE),"")</f>
        <v/>
      </c>
      <c r="O67" s="6" t="n"/>
      <c r="P67" s="6">
        <f>IFERROR(VLOOKUP(O67,DM_Giao_vien!$A$3:$H$102,2,FALSE),"")</f>
        <v/>
      </c>
      <c r="Q67" s="6">
        <f>IFERROR(VLOOKUP(O67,DM_Giao_vien!$A$3:$H$102,8,FALSE),"")</f>
        <v/>
      </c>
      <c r="R67" s="6" t="n"/>
    </row>
    <row r="68">
      <c r="A68" s="5" t="n">
        <v>66</v>
      </c>
      <c r="B68" s="6">
        <f>IF(D68="","",Huong_dan!$B$6)</f>
        <v/>
      </c>
      <c r="C68" s="5" t="n"/>
      <c r="D68" s="5" t="n"/>
      <c r="E68" s="5" t="n"/>
      <c r="F68" s="5" t="n"/>
      <c r="G68" s="5">
        <f>IFERROR(VLOOKUP(F68,DM_Mon_GDPT2018!$A$3:$G$20,2,FALSE),"")</f>
        <v/>
      </c>
      <c r="H68" s="5">
        <f>IFERROR(VLOOKUP(F68,DM_Mon_GDPT2018!$A$3:$G$20,3,FALSE),"")</f>
        <v/>
      </c>
      <c r="I68" s="5">
        <f>IFERROR(VLOOKUP(F68,DM_Mon_GDPT2018!$A$3:$G$20,5,FALSE),"")</f>
        <v/>
      </c>
      <c r="J68" s="6">
        <f>IF($I68="","",ROUND($I68*Huong_dan!$B$7/Huong_dan!$B$9,0))</f>
        <v/>
      </c>
      <c r="K68" s="6">
        <f>IF($I68="","",$I68-$J68)</f>
        <v/>
      </c>
      <c r="L68" s="6" t="n"/>
      <c r="M68" s="6">
        <f>IFERROR(VLOOKUP(L68,DM_Giao_vien!$A$3:$H$102,2,FALSE),"")</f>
        <v/>
      </c>
      <c r="N68" s="6">
        <f>IFERROR(VLOOKUP(L68,DM_Giao_vien!$A$3:$H$102,8,FALSE),"")</f>
        <v/>
      </c>
      <c r="O68" s="6" t="n"/>
      <c r="P68" s="6">
        <f>IFERROR(VLOOKUP(O68,DM_Giao_vien!$A$3:$H$102,2,FALSE),"")</f>
        <v/>
      </c>
      <c r="Q68" s="6">
        <f>IFERROR(VLOOKUP(O68,DM_Giao_vien!$A$3:$H$102,8,FALSE),"")</f>
        <v/>
      </c>
      <c r="R68" s="6" t="n"/>
    </row>
    <row r="69">
      <c r="A69" s="5" t="n">
        <v>67</v>
      </c>
      <c r="B69" s="6">
        <f>IF(D69="","",Huong_dan!$B$6)</f>
        <v/>
      </c>
      <c r="C69" s="5" t="n"/>
      <c r="D69" s="5" t="n"/>
      <c r="E69" s="5" t="n"/>
      <c r="F69" s="5" t="n"/>
      <c r="G69" s="5">
        <f>IFERROR(VLOOKUP(F69,DM_Mon_GDPT2018!$A$3:$G$20,2,FALSE),"")</f>
        <v/>
      </c>
      <c r="H69" s="5">
        <f>IFERROR(VLOOKUP(F69,DM_Mon_GDPT2018!$A$3:$G$20,3,FALSE),"")</f>
        <v/>
      </c>
      <c r="I69" s="5">
        <f>IFERROR(VLOOKUP(F69,DM_Mon_GDPT2018!$A$3:$G$20,5,FALSE),"")</f>
        <v/>
      </c>
      <c r="J69" s="6">
        <f>IF($I69="","",ROUND($I69*Huong_dan!$B$7/Huong_dan!$B$9,0))</f>
        <v/>
      </c>
      <c r="K69" s="6">
        <f>IF($I69="","",$I69-$J69)</f>
        <v/>
      </c>
      <c r="L69" s="6" t="n"/>
      <c r="M69" s="6">
        <f>IFERROR(VLOOKUP(L69,DM_Giao_vien!$A$3:$H$102,2,FALSE),"")</f>
        <v/>
      </c>
      <c r="N69" s="6">
        <f>IFERROR(VLOOKUP(L69,DM_Giao_vien!$A$3:$H$102,8,FALSE),"")</f>
        <v/>
      </c>
      <c r="O69" s="6" t="n"/>
      <c r="P69" s="6">
        <f>IFERROR(VLOOKUP(O69,DM_Giao_vien!$A$3:$H$102,2,FALSE),"")</f>
        <v/>
      </c>
      <c r="Q69" s="6">
        <f>IFERROR(VLOOKUP(O69,DM_Giao_vien!$A$3:$H$102,8,FALSE),"")</f>
        <v/>
      </c>
      <c r="R69" s="6" t="n"/>
    </row>
    <row r="70">
      <c r="A70" s="5" t="n">
        <v>68</v>
      </c>
      <c r="B70" s="6">
        <f>IF(D70="","",Huong_dan!$B$6)</f>
        <v/>
      </c>
      <c r="C70" s="5" t="n"/>
      <c r="D70" s="5" t="n"/>
      <c r="E70" s="5" t="n"/>
      <c r="F70" s="5" t="n"/>
      <c r="G70" s="5">
        <f>IFERROR(VLOOKUP(F70,DM_Mon_GDPT2018!$A$3:$G$20,2,FALSE),"")</f>
        <v/>
      </c>
      <c r="H70" s="5">
        <f>IFERROR(VLOOKUP(F70,DM_Mon_GDPT2018!$A$3:$G$20,3,FALSE),"")</f>
        <v/>
      </c>
      <c r="I70" s="5">
        <f>IFERROR(VLOOKUP(F70,DM_Mon_GDPT2018!$A$3:$G$20,5,FALSE),"")</f>
        <v/>
      </c>
      <c r="J70" s="6">
        <f>IF($I70="","",ROUND($I70*Huong_dan!$B$7/Huong_dan!$B$9,0))</f>
        <v/>
      </c>
      <c r="K70" s="6">
        <f>IF($I70="","",$I70-$J70)</f>
        <v/>
      </c>
      <c r="L70" s="6" t="n"/>
      <c r="M70" s="6">
        <f>IFERROR(VLOOKUP(L70,DM_Giao_vien!$A$3:$H$102,2,FALSE),"")</f>
        <v/>
      </c>
      <c r="N70" s="6">
        <f>IFERROR(VLOOKUP(L70,DM_Giao_vien!$A$3:$H$102,8,FALSE),"")</f>
        <v/>
      </c>
      <c r="O70" s="6" t="n"/>
      <c r="P70" s="6">
        <f>IFERROR(VLOOKUP(O70,DM_Giao_vien!$A$3:$H$102,2,FALSE),"")</f>
        <v/>
      </c>
      <c r="Q70" s="6">
        <f>IFERROR(VLOOKUP(O70,DM_Giao_vien!$A$3:$H$102,8,FALSE),"")</f>
        <v/>
      </c>
      <c r="R70" s="6" t="n"/>
    </row>
    <row r="71">
      <c r="A71" s="5" t="n">
        <v>69</v>
      </c>
      <c r="B71" s="6">
        <f>IF(D71="","",Huong_dan!$B$6)</f>
        <v/>
      </c>
      <c r="C71" s="5" t="n"/>
      <c r="D71" s="5" t="n"/>
      <c r="E71" s="5" t="n"/>
      <c r="F71" s="5" t="n"/>
      <c r="G71" s="5">
        <f>IFERROR(VLOOKUP(F71,DM_Mon_GDPT2018!$A$3:$G$20,2,FALSE),"")</f>
        <v/>
      </c>
      <c r="H71" s="5">
        <f>IFERROR(VLOOKUP(F71,DM_Mon_GDPT2018!$A$3:$G$20,3,FALSE),"")</f>
        <v/>
      </c>
      <c r="I71" s="5">
        <f>IFERROR(VLOOKUP(F71,DM_Mon_GDPT2018!$A$3:$G$20,5,FALSE),"")</f>
        <v/>
      </c>
      <c r="J71" s="6">
        <f>IF($I71="","",ROUND($I71*Huong_dan!$B$7/Huong_dan!$B$9,0))</f>
        <v/>
      </c>
      <c r="K71" s="6">
        <f>IF($I71="","",$I71-$J71)</f>
        <v/>
      </c>
      <c r="L71" s="6" t="n"/>
      <c r="M71" s="6">
        <f>IFERROR(VLOOKUP(L71,DM_Giao_vien!$A$3:$H$102,2,FALSE),"")</f>
        <v/>
      </c>
      <c r="N71" s="6">
        <f>IFERROR(VLOOKUP(L71,DM_Giao_vien!$A$3:$H$102,8,FALSE),"")</f>
        <v/>
      </c>
      <c r="O71" s="6" t="n"/>
      <c r="P71" s="6">
        <f>IFERROR(VLOOKUP(O71,DM_Giao_vien!$A$3:$H$102,2,FALSE),"")</f>
        <v/>
      </c>
      <c r="Q71" s="6">
        <f>IFERROR(VLOOKUP(O71,DM_Giao_vien!$A$3:$H$102,8,FALSE),"")</f>
        <v/>
      </c>
      <c r="R71" s="6" t="n"/>
    </row>
    <row r="72">
      <c r="A72" s="5" t="n">
        <v>70</v>
      </c>
      <c r="B72" s="6">
        <f>IF(D72="","",Huong_dan!$B$6)</f>
        <v/>
      </c>
      <c r="C72" s="5" t="n"/>
      <c r="D72" s="5" t="n"/>
      <c r="E72" s="5" t="n"/>
      <c r="F72" s="5" t="n"/>
      <c r="G72" s="5">
        <f>IFERROR(VLOOKUP(F72,DM_Mon_GDPT2018!$A$3:$G$20,2,FALSE),"")</f>
        <v/>
      </c>
      <c r="H72" s="5">
        <f>IFERROR(VLOOKUP(F72,DM_Mon_GDPT2018!$A$3:$G$20,3,FALSE),"")</f>
        <v/>
      </c>
      <c r="I72" s="5">
        <f>IFERROR(VLOOKUP(F72,DM_Mon_GDPT2018!$A$3:$G$20,5,FALSE),"")</f>
        <v/>
      </c>
      <c r="J72" s="6">
        <f>IF($I72="","",ROUND($I72*Huong_dan!$B$7/Huong_dan!$B$9,0))</f>
        <v/>
      </c>
      <c r="K72" s="6">
        <f>IF($I72="","",$I72-$J72)</f>
        <v/>
      </c>
      <c r="L72" s="6" t="n"/>
      <c r="M72" s="6">
        <f>IFERROR(VLOOKUP(L72,DM_Giao_vien!$A$3:$H$102,2,FALSE),"")</f>
        <v/>
      </c>
      <c r="N72" s="6">
        <f>IFERROR(VLOOKUP(L72,DM_Giao_vien!$A$3:$H$102,8,FALSE),"")</f>
        <v/>
      </c>
      <c r="O72" s="6" t="n"/>
      <c r="P72" s="6">
        <f>IFERROR(VLOOKUP(O72,DM_Giao_vien!$A$3:$H$102,2,FALSE),"")</f>
        <v/>
      </c>
      <c r="Q72" s="6">
        <f>IFERROR(VLOOKUP(O72,DM_Giao_vien!$A$3:$H$102,8,FALSE),"")</f>
        <v/>
      </c>
      <c r="R72" s="6" t="n"/>
    </row>
    <row r="73">
      <c r="A73" s="5" t="n">
        <v>71</v>
      </c>
      <c r="B73" s="6">
        <f>IF(D73="","",Huong_dan!$B$6)</f>
        <v/>
      </c>
      <c r="C73" s="5" t="n"/>
      <c r="D73" s="5" t="n"/>
      <c r="E73" s="5" t="n"/>
      <c r="F73" s="5" t="n"/>
      <c r="G73" s="5">
        <f>IFERROR(VLOOKUP(F73,DM_Mon_GDPT2018!$A$3:$G$20,2,FALSE),"")</f>
        <v/>
      </c>
      <c r="H73" s="5">
        <f>IFERROR(VLOOKUP(F73,DM_Mon_GDPT2018!$A$3:$G$20,3,FALSE),"")</f>
        <v/>
      </c>
      <c r="I73" s="5">
        <f>IFERROR(VLOOKUP(F73,DM_Mon_GDPT2018!$A$3:$G$20,5,FALSE),"")</f>
        <v/>
      </c>
      <c r="J73" s="6">
        <f>IF($I73="","",ROUND($I73*Huong_dan!$B$7/Huong_dan!$B$9,0))</f>
        <v/>
      </c>
      <c r="K73" s="6">
        <f>IF($I73="","",$I73-$J73)</f>
        <v/>
      </c>
      <c r="L73" s="6" t="n"/>
      <c r="M73" s="6">
        <f>IFERROR(VLOOKUP(L73,DM_Giao_vien!$A$3:$H$102,2,FALSE),"")</f>
        <v/>
      </c>
      <c r="N73" s="6">
        <f>IFERROR(VLOOKUP(L73,DM_Giao_vien!$A$3:$H$102,8,FALSE),"")</f>
        <v/>
      </c>
      <c r="O73" s="6" t="n"/>
      <c r="P73" s="6">
        <f>IFERROR(VLOOKUP(O73,DM_Giao_vien!$A$3:$H$102,2,FALSE),"")</f>
        <v/>
      </c>
      <c r="Q73" s="6">
        <f>IFERROR(VLOOKUP(O73,DM_Giao_vien!$A$3:$H$102,8,FALSE),"")</f>
        <v/>
      </c>
      <c r="R73" s="6" t="n"/>
    </row>
    <row r="74">
      <c r="A74" s="5" t="n">
        <v>72</v>
      </c>
      <c r="B74" s="6">
        <f>IF(D74="","",Huong_dan!$B$6)</f>
        <v/>
      </c>
      <c r="C74" s="5" t="n"/>
      <c r="D74" s="5" t="n"/>
      <c r="E74" s="5" t="n"/>
      <c r="F74" s="5" t="n"/>
      <c r="G74" s="5">
        <f>IFERROR(VLOOKUP(F74,DM_Mon_GDPT2018!$A$3:$G$20,2,FALSE),"")</f>
        <v/>
      </c>
      <c r="H74" s="5">
        <f>IFERROR(VLOOKUP(F74,DM_Mon_GDPT2018!$A$3:$G$20,3,FALSE),"")</f>
        <v/>
      </c>
      <c r="I74" s="5">
        <f>IFERROR(VLOOKUP(F74,DM_Mon_GDPT2018!$A$3:$G$20,5,FALSE),"")</f>
        <v/>
      </c>
      <c r="J74" s="6">
        <f>IF($I74="","",ROUND($I74*Huong_dan!$B$7/Huong_dan!$B$9,0))</f>
        <v/>
      </c>
      <c r="K74" s="6">
        <f>IF($I74="","",$I74-$J74)</f>
        <v/>
      </c>
      <c r="L74" s="6" t="n"/>
      <c r="M74" s="6">
        <f>IFERROR(VLOOKUP(L74,DM_Giao_vien!$A$3:$H$102,2,FALSE),"")</f>
        <v/>
      </c>
      <c r="N74" s="6">
        <f>IFERROR(VLOOKUP(L74,DM_Giao_vien!$A$3:$H$102,8,FALSE),"")</f>
        <v/>
      </c>
      <c r="O74" s="6" t="n"/>
      <c r="P74" s="6">
        <f>IFERROR(VLOOKUP(O74,DM_Giao_vien!$A$3:$H$102,2,FALSE),"")</f>
        <v/>
      </c>
      <c r="Q74" s="6">
        <f>IFERROR(VLOOKUP(O74,DM_Giao_vien!$A$3:$H$102,8,FALSE),"")</f>
        <v/>
      </c>
      <c r="R74" s="6" t="n"/>
    </row>
    <row r="75">
      <c r="A75" s="5" t="n">
        <v>73</v>
      </c>
      <c r="B75" s="6">
        <f>IF(D75="","",Huong_dan!$B$6)</f>
        <v/>
      </c>
      <c r="C75" s="5" t="n"/>
      <c r="D75" s="5" t="n"/>
      <c r="E75" s="5" t="n"/>
      <c r="F75" s="5" t="n"/>
      <c r="G75" s="5">
        <f>IFERROR(VLOOKUP(F75,DM_Mon_GDPT2018!$A$3:$G$20,2,FALSE),"")</f>
        <v/>
      </c>
      <c r="H75" s="5">
        <f>IFERROR(VLOOKUP(F75,DM_Mon_GDPT2018!$A$3:$G$20,3,FALSE),"")</f>
        <v/>
      </c>
      <c r="I75" s="5">
        <f>IFERROR(VLOOKUP(F75,DM_Mon_GDPT2018!$A$3:$G$20,5,FALSE),"")</f>
        <v/>
      </c>
      <c r="J75" s="6">
        <f>IF($I75="","",ROUND($I75*Huong_dan!$B$7/Huong_dan!$B$9,0))</f>
        <v/>
      </c>
      <c r="K75" s="6">
        <f>IF($I75="","",$I75-$J75)</f>
        <v/>
      </c>
      <c r="L75" s="6" t="n"/>
      <c r="M75" s="6">
        <f>IFERROR(VLOOKUP(L75,DM_Giao_vien!$A$3:$H$102,2,FALSE),"")</f>
        <v/>
      </c>
      <c r="N75" s="6">
        <f>IFERROR(VLOOKUP(L75,DM_Giao_vien!$A$3:$H$102,8,FALSE),"")</f>
        <v/>
      </c>
      <c r="O75" s="6" t="n"/>
      <c r="P75" s="6">
        <f>IFERROR(VLOOKUP(O75,DM_Giao_vien!$A$3:$H$102,2,FALSE),"")</f>
        <v/>
      </c>
      <c r="Q75" s="6">
        <f>IFERROR(VLOOKUP(O75,DM_Giao_vien!$A$3:$H$102,8,FALSE),"")</f>
        <v/>
      </c>
      <c r="R75" s="6" t="n"/>
    </row>
    <row r="76">
      <c r="A76" s="5" t="n">
        <v>74</v>
      </c>
      <c r="B76" s="6">
        <f>IF(D76="","",Huong_dan!$B$6)</f>
        <v/>
      </c>
      <c r="C76" s="5" t="n"/>
      <c r="D76" s="5" t="n"/>
      <c r="E76" s="5" t="n"/>
      <c r="F76" s="5" t="n"/>
      <c r="G76" s="5">
        <f>IFERROR(VLOOKUP(F76,DM_Mon_GDPT2018!$A$3:$G$20,2,FALSE),"")</f>
        <v/>
      </c>
      <c r="H76" s="5">
        <f>IFERROR(VLOOKUP(F76,DM_Mon_GDPT2018!$A$3:$G$20,3,FALSE),"")</f>
        <v/>
      </c>
      <c r="I76" s="5">
        <f>IFERROR(VLOOKUP(F76,DM_Mon_GDPT2018!$A$3:$G$20,5,FALSE),"")</f>
        <v/>
      </c>
      <c r="J76" s="6">
        <f>IF($I76="","",ROUND($I76*Huong_dan!$B$7/Huong_dan!$B$9,0))</f>
        <v/>
      </c>
      <c r="K76" s="6">
        <f>IF($I76="","",$I76-$J76)</f>
        <v/>
      </c>
      <c r="L76" s="6" t="n"/>
      <c r="M76" s="6">
        <f>IFERROR(VLOOKUP(L76,DM_Giao_vien!$A$3:$H$102,2,FALSE),"")</f>
        <v/>
      </c>
      <c r="N76" s="6">
        <f>IFERROR(VLOOKUP(L76,DM_Giao_vien!$A$3:$H$102,8,FALSE),"")</f>
        <v/>
      </c>
      <c r="O76" s="6" t="n"/>
      <c r="P76" s="6">
        <f>IFERROR(VLOOKUP(O76,DM_Giao_vien!$A$3:$H$102,2,FALSE),"")</f>
        <v/>
      </c>
      <c r="Q76" s="6">
        <f>IFERROR(VLOOKUP(O76,DM_Giao_vien!$A$3:$H$102,8,FALSE),"")</f>
        <v/>
      </c>
      <c r="R76" s="6" t="n"/>
    </row>
    <row r="77">
      <c r="A77" s="5" t="n">
        <v>75</v>
      </c>
      <c r="B77" s="6">
        <f>IF(D77="","",Huong_dan!$B$6)</f>
        <v/>
      </c>
      <c r="C77" s="5" t="n"/>
      <c r="D77" s="5" t="n"/>
      <c r="E77" s="5" t="n"/>
      <c r="F77" s="5" t="n"/>
      <c r="G77" s="5">
        <f>IFERROR(VLOOKUP(F77,DM_Mon_GDPT2018!$A$3:$G$20,2,FALSE),"")</f>
        <v/>
      </c>
      <c r="H77" s="5">
        <f>IFERROR(VLOOKUP(F77,DM_Mon_GDPT2018!$A$3:$G$20,3,FALSE),"")</f>
        <v/>
      </c>
      <c r="I77" s="5">
        <f>IFERROR(VLOOKUP(F77,DM_Mon_GDPT2018!$A$3:$G$20,5,FALSE),"")</f>
        <v/>
      </c>
      <c r="J77" s="6">
        <f>IF($I77="","",ROUND($I77*Huong_dan!$B$7/Huong_dan!$B$9,0))</f>
        <v/>
      </c>
      <c r="K77" s="6">
        <f>IF($I77="","",$I77-$J77)</f>
        <v/>
      </c>
      <c r="L77" s="6" t="n"/>
      <c r="M77" s="6">
        <f>IFERROR(VLOOKUP(L77,DM_Giao_vien!$A$3:$H$102,2,FALSE),"")</f>
        <v/>
      </c>
      <c r="N77" s="6">
        <f>IFERROR(VLOOKUP(L77,DM_Giao_vien!$A$3:$H$102,8,FALSE),"")</f>
        <v/>
      </c>
      <c r="O77" s="6" t="n"/>
      <c r="P77" s="6">
        <f>IFERROR(VLOOKUP(O77,DM_Giao_vien!$A$3:$H$102,2,FALSE),"")</f>
        <v/>
      </c>
      <c r="Q77" s="6">
        <f>IFERROR(VLOOKUP(O77,DM_Giao_vien!$A$3:$H$102,8,FALSE),"")</f>
        <v/>
      </c>
      <c r="R77" s="6" t="n"/>
    </row>
    <row r="78">
      <c r="A78" s="5" t="n">
        <v>76</v>
      </c>
      <c r="B78" s="6">
        <f>IF(D78="","",Huong_dan!$B$6)</f>
        <v/>
      </c>
      <c r="C78" s="5" t="n"/>
      <c r="D78" s="5" t="n"/>
      <c r="E78" s="5" t="n"/>
      <c r="F78" s="5" t="n"/>
      <c r="G78" s="5">
        <f>IFERROR(VLOOKUP(F78,DM_Mon_GDPT2018!$A$3:$G$20,2,FALSE),"")</f>
        <v/>
      </c>
      <c r="H78" s="5">
        <f>IFERROR(VLOOKUP(F78,DM_Mon_GDPT2018!$A$3:$G$20,3,FALSE),"")</f>
        <v/>
      </c>
      <c r="I78" s="5">
        <f>IFERROR(VLOOKUP(F78,DM_Mon_GDPT2018!$A$3:$G$20,5,FALSE),"")</f>
        <v/>
      </c>
      <c r="J78" s="6">
        <f>IF($I78="","",ROUND($I78*Huong_dan!$B$7/Huong_dan!$B$9,0))</f>
        <v/>
      </c>
      <c r="K78" s="6">
        <f>IF($I78="","",$I78-$J78)</f>
        <v/>
      </c>
      <c r="L78" s="6" t="n"/>
      <c r="M78" s="6">
        <f>IFERROR(VLOOKUP(L78,DM_Giao_vien!$A$3:$H$102,2,FALSE),"")</f>
        <v/>
      </c>
      <c r="N78" s="6">
        <f>IFERROR(VLOOKUP(L78,DM_Giao_vien!$A$3:$H$102,8,FALSE),"")</f>
        <v/>
      </c>
      <c r="O78" s="6" t="n"/>
      <c r="P78" s="6">
        <f>IFERROR(VLOOKUP(O78,DM_Giao_vien!$A$3:$H$102,2,FALSE),"")</f>
        <v/>
      </c>
      <c r="Q78" s="6">
        <f>IFERROR(VLOOKUP(O78,DM_Giao_vien!$A$3:$H$102,8,FALSE),"")</f>
        <v/>
      </c>
      <c r="R78" s="6" t="n"/>
    </row>
    <row r="79">
      <c r="A79" s="5" t="n">
        <v>77</v>
      </c>
      <c r="B79" s="6">
        <f>IF(D79="","",Huong_dan!$B$6)</f>
        <v/>
      </c>
      <c r="C79" s="5" t="n"/>
      <c r="D79" s="5" t="n"/>
      <c r="E79" s="5" t="n"/>
      <c r="F79" s="5" t="n"/>
      <c r="G79" s="5">
        <f>IFERROR(VLOOKUP(F79,DM_Mon_GDPT2018!$A$3:$G$20,2,FALSE),"")</f>
        <v/>
      </c>
      <c r="H79" s="5">
        <f>IFERROR(VLOOKUP(F79,DM_Mon_GDPT2018!$A$3:$G$20,3,FALSE),"")</f>
        <v/>
      </c>
      <c r="I79" s="5">
        <f>IFERROR(VLOOKUP(F79,DM_Mon_GDPT2018!$A$3:$G$20,5,FALSE),"")</f>
        <v/>
      </c>
      <c r="J79" s="6">
        <f>IF($I79="","",ROUND($I79*Huong_dan!$B$7/Huong_dan!$B$9,0))</f>
        <v/>
      </c>
      <c r="K79" s="6">
        <f>IF($I79="","",$I79-$J79)</f>
        <v/>
      </c>
      <c r="L79" s="6" t="n"/>
      <c r="M79" s="6">
        <f>IFERROR(VLOOKUP(L79,DM_Giao_vien!$A$3:$H$102,2,FALSE),"")</f>
        <v/>
      </c>
      <c r="N79" s="6">
        <f>IFERROR(VLOOKUP(L79,DM_Giao_vien!$A$3:$H$102,8,FALSE),"")</f>
        <v/>
      </c>
      <c r="O79" s="6" t="n"/>
      <c r="P79" s="6">
        <f>IFERROR(VLOOKUP(O79,DM_Giao_vien!$A$3:$H$102,2,FALSE),"")</f>
        <v/>
      </c>
      <c r="Q79" s="6">
        <f>IFERROR(VLOOKUP(O79,DM_Giao_vien!$A$3:$H$102,8,FALSE),"")</f>
        <v/>
      </c>
      <c r="R79" s="6" t="n"/>
    </row>
    <row r="80">
      <c r="A80" s="5" t="n">
        <v>78</v>
      </c>
      <c r="B80" s="6">
        <f>IF(D80="","",Huong_dan!$B$6)</f>
        <v/>
      </c>
      <c r="C80" s="5" t="n"/>
      <c r="D80" s="5" t="n"/>
      <c r="E80" s="5" t="n"/>
      <c r="F80" s="5" t="n"/>
      <c r="G80" s="5">
        <f>IFERROR(VLOOKUP(F80,DM_Mon_GDPT2018!$A$3:$G$20,2,FALSE),"")</f>
        <v/>
      </c>
      <c r="H80" s="5">
        <f>IFERROR(VLOOKUP(F80,DM_Mon_GDPT2018!$A$3:$G$20,3,FALSE),"")</f>
        <v/>
      </c>
      <c r="I80" s="5">
        <f>IFERROR(VLOOKUP(F80,DM_Mon_GDPT2018!$A$3:$G$20,5,FALSE),"")</f>
        <v/>
      </c>
      <c r="J80" s="6">
        <f>IF($I80="","",ROUND($I80*Huong_dan!$B$7/Huong_dan!$B$9,0))</f>
        <v/>
      </c>
      <c r="K80" s="6">
        <f>IF($I80="","",$I80-$J80)</f>
        <v/>
      </c>
      <c r="L80" s="6" t="n"/>
      <c r="M80" s="6">
        <f>IFERROR(VLOOKUP(L80,DM_Giao_vien!$A$3:$H$102,2,FALSE),"")</f>
        <v/>
      </c>
      <c r="N80" s="6">
        <f>IFERROR(VLOOKUP(L80,DM_Giao_vien!$A$3:$H$102,8,FALSE),"")</f>
        <v/>
      </c>
      <c r="O80" s="6" t="n"/>
      <c r="P80" s="6">
        <f>IFERROR(VLOOKUP(O80,DM_Giao_vien!$A$3:$H$102,2,FALSE),"")</f>
        <v/>
      </c>
      <c r="Q80" s="6">
        <f>IFERROR(VLOOKUP(O80,DM_Giao_vien!$A$3:$H$102,8,FALSE),"")</f>
        <v/>
      </c>
      <c r="R80" s="6" t="n"/>
    </row>
    <row r="81">
      <c r="A81" s="5" t="n">
        <v>79</v>
      </c>
      <c r="B81" s="6">
        <f>IF(D81="","",Huong_dan!$B$6)</f>
        <v/>
      </c>
      <c r="C81" s="5" t="n"/>
      <c r="D81" s="5" t="n"/>
      <c r="E81" s="5" t="n"/>
      <c r="F81" s="5" t="n"/>
      <c r="G81" s="5">
        <f>IFERROR(VLOOKUP(F81,DM_Mon_GDPT2018!$A$3:$G$20,2,FALSE),"")</f>
        <v/>
      </c>
      <c r="H81" s="5">
        <f>IFERROR(VLOOKUP(F81,DM_Mon_GDPT2018!$A$3:$G$20,3,FALSE),"")</f>
        <v/>
      </c>
      <c r="I81" s="5">
        <f>IFERROR(VLOOKUP(F81,DM_Mon_GDPT2018!$A$3:$G$20,5,FALSE),"")</f>
        <v/>
      </c>
      <c r="J81" s="6">
        <f>IF($I81="","",ROUND($I81*Huong_dan!$B$7/Huong_dan!$B$9,0))</f>
        <v/>
      </c>
      <c r="K81" s="6">
        <f>IF($I81="","",$I81-$J81)</f>
        <v/>
      </c>
      <c r="L81" s="6" t="n"/>
      <c r="M81" s="6">
        <f>IFERROR(VLOOKUP(L81,DM_Giao_vien!$A$3:$H$102,2,FALSE),"")</f>
        <v/>
      </c>
      <c r="N81" s="6">
        <f>IFERROR(VLOOKUP(L81,DM_Giao_vien!$A$3:$H$102,8,FALSE),"")</f>
        <v/>
      </c>
      <c r="O81" s="6" t="n"/>
      <c r="P81" s="6">
        <f>IFERROR(VLOOKUP(O81,DM_Giao_vien!$A$3:$H$102,2,FALSE),"")</f>
        <v/>
      </c>
      <c r="Q81" s="6">
        <f>IFERROR(VLOOKUP(O81,DM_Giao_vien!$A$3:$H$102,8,FALSE),"")</f>
        <v/>
      </c>
      <c r="R81" s="6" t="n"/>
    </row>
    <row r="82">
      <c r="A82" s="5" t="n">
        <v>80</v>
      </c>
      <c r="B82" s="6">
        <f>IF(D82="","",Huong_dan!$B$6)</f>
        <v/>
      </c>
      <c r="C82" s="5" t="n"/>
      <c r="D82" s="5" t="n"/>
      <c r="E82" s="5" t="n"/>
      <c r="F82" s="5" t="n"/>
      <c r="G82" s="5">
        <f>IFERROR(VLOOKUP(F82,DM_Mon_GDPT2018!$A$3:$G$20,2,FALSE),"")</f>
        <v/>
      </c>
      <c r="H82" s="5">
        <f>IFERROR(VLOOKUP(F82,DM_Mon_GDPT2018!$A$3:$G$20,3,FALSE),"")</f>
        <v/>
      </c>
      <c r="I82" s="5">
        <f>IFERROR(VLOOKUP(F82,DM_Mon_GDPT2018!$A$3:$G$20,5,FALSE),"")</f>
        <v/>
      </c>
      <c r="J82" s="6">
        <f>IF($I82="","",ROUND($I82*Huong_dan!$B$7/Huong_dan!$B$9,0))</f>
        <v/>
      </c>
      <c r="K82" s="6">
        <f>IF($I82="","",$I82-$J82)</f>
        <v/>
      </c>
      <c r="L82" s="6" t="n"/>
      <c r="M82" s="6">
        <f>IFERROR(VLOOKUP(L82,DM_Giao_vien!$A$3:$H$102,2,FALSE),"")</f>
        <v/>
      </c>
      <c r="N82" s="6">
        <f>IFERROR(VLOOKUP(L82,DM_Giao_vien!$A$3:$H$102,8,FALSE),"")</f>
        <v/>
      </c>
      <c r="O82" s="6" t="n"/>
      <c r="P82" s="6">
        <f>IFERROR(VLOOKUP(O82,DM_Giao_vien!$A$3:$H$102,2,FALSE),"")</f>
        <v/>
      </c>
      <c r="Q82" s="6">
        <f>IFERROR(VLOOKUP(O82,DM_Giao_vien!$A$3:$H$102,8,FALSE),"")</f>
        <v/>
      </c>
      <c r="R82" s="6" t="n"/>
    </row>
    <row r="83">
      <c r="A83" s="5" t="n">
        <v>81</v>
      </c>
      <c r="B83" s="6">
        <f>IF(D83="","",Huong_dan!$B$6)</f>
        <v/>
      </c>
      <c r="C83" s="5" t="n"/>
      <c r="D83" s="5" t="n"/>
      <c r="E83" s="5" t="n"/>
      <c r="F83" s="5" t="n"/>
      <c r="G83" s="5">
        <f>IFERROR(VLOOKUP(F83,DM_Mon_GDPT2018!$A$3:$G$20,2,FALSE),"")</f>
        <v/>
      </c>
      <c r="H83" s="5">
        <f>IFERROR(VLOOKUP(F83,DM_Mon_GDPT2018!$A$3:$G$20,3,FALSE),"")</f>
        <v/>
      </c>
      <c r="I83" s="5">
        <f>IFERROR(VLOOKUP(F83,DM_Mon_GDPT2018!$A$3:$G$20,5,FALSE),"")</f>
        <v/>
      </c>
      <c r="J83" s="6">
        <f>IF($I83="","",ROUND($I83*Huong_dan!$B$7/Huong_dan!$B$9,0))</f>
        <v/>
      </c>
      <c r="K83" s="6">
        <f>IF($I83="","",$I83-$J83)</f>
        <v/>
      </c>
      <c r="L83" s="6" t="n"/>
      <c r="M83" s="6">
        <f>IFERROR(VLOOKUP(L83,DM_Giao_vien!$A$3:$H$102,2,FALSE),"")</f>
        <v/>
      </c>
      <c r="N83" s="6">
        <f>IFERROR(VLOOKUP(L83,DM_Giao_vien!$A$3:$H$102,8,FALSE),"")</f>
        <v/>
      </c>
      <c r="O83" s="6" t="n"/>
      <c r="P83" s="6">
        <f>IFERROR(VLOOKUP(O83,DM_Giao_vien!$A$3:$H$102,2,FALSE),"")</f>
        <v/>
      </c>
      <c r="Q83" s="6">
        <f>IFERROR(VLOOKUP(O83,DM_Giao_vien!$A$3:$H$102,8,FALSE),"")</f>
        <v/>
      </c>
      <c r="R83" s="6" t="n"/>
    </row>
    <row r="84">
      <c r="A84" s="5" t="n">
        <v>82</v>
      </c>
      <c r="B84" s="6">
        <f>IF(D84="","",Huong_dan!$B$6)</f>
        <v/>
      </c>
      <c r="C84" s="5" t="n"/>
      <c r="D84" s="5" t="n"/>
      <c r="E84" s="5" t="n"/>
      <c r="F84" s="5" t="n"/>
      <c r="G84" s="5">
        <f>IFERROR(VLOOKUP(F84,DM_Mon_GDPT2018!$A$3:$G$20,2,FALSE),"")</f>
        <v/>
      </c>
      <c r="H84" s="5">
        <f>IFERROR(VLOOKUP(F84,DM_Mon_GDPT2018!$A$3:$G$20,3,FALSE),"")</f>
        <v/>
      </c>
      <c r="I84" s="5">
        <f>IFERROR(VLOOKUP(F84,DM_Mon_GDPT2018!$A$3:$G$20,5,FALSE),"")</f>
        <v/>
      </c>
      <c r="J84" s="6">
        <f>IF($I84="","",ROUND($I84*Huong_dan!$B$7/Huong_dan!$B$9,0))</f>
        <v/>
      </c>
      <c r="K84" s="6">
        <f>IF($I84="","",$I84-$J84)</f>
        <v/>
      </c>
      <c r="L84" s="6" t="n"/>
      <c r="M84" s="6">
        <f>IFERROR(VLOOKUP(L84,DM_Giao_vien!$A$3:$H$102,2,FALSE),"")</f>
        <v/>
      </c>
      <c r="N84" s="6">
        <f>IFERROR(VLOOKUP(L84,DM_Giao_vien!$A$3:$H$102,8,FALSE),"")</f>
        <v/>
      </c>
      <c r="O84" s="6" t="n"/>
      <c r="P84" s="6">
        <f>IFERROR(VLOOKUP(O84,DM_Giao_vien!$A$3:$H$102,2,FALSE),"")</f>
        <v/>
      </c>
      <c r="Q84" s="6">
        <f>IFERROR(VLOOKUP(O84,DM_Giao_vien!$A$3:$H$102,8,FALSE),"")</f>
        <v/>
      </c>
      <c r="R84" s="6" t="n"/>
    </row>
    <row r="85">
      <c r="A85" s="5" t="n">
        <v>83</v>
      </c>
      <c r="B85" s="6">
        <f>IF(D85="","",Huong_dan!$B$6)</f>
        <v/>
      </c>
      <c r="C85" s="5" t="n"/>
      <c r="D85" s="5" t="n"/>
      <c r="E85" s="5" t="n"/>
      <c r="F85" s="5" t="n"/>
      <c r="G85" s="5">
        <f>IFERROR(VLOOKUP(F85,DM_Mon_GDPT2018!$A$3:$G$20,2,FALSE),"")</f>
        <v/>
      </c>
      <c r="H85" s="5">
        <f>IFERROR(VLOOKUP(F85,DM_Mon_GDPT2018!$A$3:$G$20,3,FALSE),"")</f>
        <v/>
      </c>
      <c r="I85" s="5">
        <f>IFERROR(VLOOKUP(F85,DM_Mon_GDPT2018!$A$3:$G$20,5,FALSE),"")</f>
        <v/>
      </c>
      <c r="J85" s="6">
        <f>IF($I85="","",ROUND($I85*Huong_dan!$B$7/Huong_dan!$B$9,0))</f>
        <v/>
      </c>
      <c r="K85" s="6">
        <f>IF($I85="","",$I85-$J85)</f>
        <v/>
      </c>
      <c r="L85" s="6" t="n"/>
      <c r="M85" s="6">
        <f>IFERROR(VLOOKUP(L85,DM_Giao_vien!$A$3:$H$102,2,FALSE),"")</f>
        <v/>
      </c>
      <c r="N85" s="6">
        <f>IFERROR(VLOOKUP(L85,DM_Giao_vien!$A$3:$H$102,8,FALSE),"")</f>
        <v/>
      </c>
      <c r="O85" s="6" t="n"/>
      <c r="P85" s="6">
        <f>IFERROR(VLOOKUP(O85,DM_Giao_vien!$A$3:$H$102,2,FALSE),"")</f>
        <v/>
      </c>
      <c r="Q85" s="6">
        <f>IFERROR(VLOOKUP(O85,DM_Giao_vien!$A$3:$H$102,8,FALSE),"")</f>
        <v/>
      </c>
      <c r="R85" s="6" t="n"/>
    </row>
    <row r="86">
      <c r="A86" s="5" t="n">
        <v>84</v>
      </c>
      <c r="B86" s="6">
        <f>IF(D86="","",Huong_dan!$B$6)</f>
        <v/>
      </c>
      <c r="C86" s="5" t="n"/>
      <c r="D86" s="5" t="n"/>
      <c r="E86" s="5" t="n"/>
      <c r="F86" s="5" t="n"/>
      <c r="G86" s="5">
        <f>IFERROR(VLOOKUP(F86,DM_Mon_GDPT2018!$A$3:$G$20,2,FALSE),"")</f>
        <v/>
      </c>
      <c r="H86" s="5">
        <f>IFERROR(VLOOKUP(F86,DM_Mon_GDPT2018!$A$3:$G$20,3,FALSE),"")</f>
        <v/>
      </c>
      <c r="I86" s="5">
        <f>IFERROR(VLOOKUP(F86,DM_Mon_GDPT2018!$A$3:$G$20,5,FALSE),"")</f>
        <v/>
      </c>
      <c r="J86" s="6">
        <f>IF($I86="","",ROUND($I86*Huong_dan!$B$7/Huong_dan!$B$9,0))</f>
        <v/>
      </c>
      <c r="K86" s="6">
        <f>IF($I86="","",$I86-$J86)</f>
        <v/>
      </c>
      <c r="L86" s="6" t="n"/>
      <c r="M86" s="6">
        <f>IFERROR(VLOOKUP(L86,DM_Giao_vien!$A$3:$H$102,2,FALSE),"")</f>
        <v/>
      </c>
      <c r="N86" s="6">
        <f>IFERROR(VLOOKUP(L86,DM_Giao_vien!$A$3:$H$102,8,FALSE),"")</f>
        <v/>
      </c>
      <c r="O86" s="6" t="n"/>
      <c r="P86" s="6">
        <f>IFERROR(VLOOKUP(O86,DM_Giao_vien!$A$3:$H$102,2,FALSE),"")</f>
        <v/>
      </c>
      <c r="Q86" s="6">
        <f>IFERROR(VLOOKUP(O86,DM_Giao_vien!$A$3:$H$102,8,FALSE),"")</f>
        <v/>
      </c>
      <c r="R86" s="6" t="n"/>
    </row>
    <row r="87">
      <c r="A87" s="5" t="n">
        <v>85</v>
      </c>
      <c r="B87" s="6">
        <f>IF(D87="","",Huong_dan!$B$6)</f>
        <v/>
      </c>
      <c r="C87" s="5" t="n"/>
      <c r="D87" s="5" t="n"/>
      <c r="E87" s="5" t="n"/>
      <c r="F87" s="5" t="n"/>
      <c r="G87" s="5">
        <f>IFERROR(VLOOKUP(F87,DM_Mon_GDPT2018!$A$3:$G$20,2,FALSE),"")</f>
        <v/>
      </c>
      <c r="H87" s="5">
        <f>IFERROR(VLOOKUP(F87,DM_Mon_GDPT2018!$A$3:$G$20,3,FALSE),"")</f>
        <v/>
      </c>
      <c r="I87" s="5">
        <f>IFERROR(VLOOKUP(F87,DM_Mon_GDPT2018!$A$3:$G$20,5,FALSE),"")</f>
        <v/>
      </c>
      <c r="J87" s="6">
        <f>IF($I87="","",ROUND($I87*Huong_dan!$B$7/Huong_dan!$B$9,0))</f>
        <v/>
      </c>
      <c r="K87" s="6">
        <f>IF($I87="","",$I87-$J87)</f>
        <v/>
      </c>
      <c r="L87" s="6" t="n"/>
      <c r="M87" s="6">
        <f>IFERROR(VLOOKUP(L87,DM_Giao_vien!$A$3:$H$102,2,FALSE),"")</f>
        <v/>
      </c>
      <c r="N87" s="6">
        <f>IFERROR(VLOOKUP(L87,DM_Giao_vien!$A$3:$H$102,8,FALSE),"")</f>
        <v/>
      </c>
      <c r="O87" s="6" t="n"/>
      <c r="P87" s="6">
        <f>IFERROR(VLOOKUP(O87,DM_Giao_vien!$A$3:$H$102,2,FALSE),"")</f>
        <v/>
      </c>
      <c r="Q87" s="6">
        <f>IFERROR(VLOOKUP(O87,DM_Giao_vien!$A$3:$H$102,8,FALSE),"")</f>
        <v/>
      </c>
      <c r="R87" s="6" t="n"/>
    </row>
    <row r="88">
      <c r="A88" s="5" t="n">
        <v>86</v>
      </c>
      <c r="B88" s="6">
        <f>IF(D88="","",Huong_dan!$B$6)</f>
        <v/>
      </c>
      <c r="C88" s="5" t="n"/>
      <c r="D88" s="5" t="n"/>
      <c r="E88" s="5" t="n"/>
      <c r="F88" s="5" t="n"/>
      <c r="G88" s="5">
        <f>IFERROR(VLOOKUP(F88,DM_Mon_GDPT2018!$A$3:$G$20,2,FALSE),"")</f>
        <v/>
      </c>
      <c r="H88" s="5">
        <f>IFERROR(VLOOKUP(F88,DM_Mon_GDPT2018!$A$3:$G$20,3,FALSE),"")</f>
        <v/>
      </c>
      <c r="I88" s="5">
        <f>IFERROR(VLOOKUP(F88,DM_Mon_GDPT2018!$A$3:$G$20,5,FALSE),"")</f>
        <v/>
      </c>
      <c r="J88" s="6">
        <f>IF($I88="","",ROUND($I88*Huong_dan!$B$7/Huong_dan!$B$9,0))</f>
        <v/>
      </c>
      <c r="K88" s="6">
        <f>IF($I88="","",$I88-$J88)</f>
        <v/>
      </c>
      <c r="L88" s="6" t="n"/>
      <c r="M88" s="6">
        <f>IFERROR(VLOOKUP(L88,DM_Giao_vien!$A$3:$H$102,2,FALSE),"")</f>
        <v/>
      </c>
      <c r="N88" s="6">
        <f>IFERROR(VLOOKUP(L88,DM_Giao_vien!$A$3:$H$102,8,FALSE),"")</f>
        <v/>
      </c>
      <c r="O88" s="6" t="n"/>
      <c r="P88" s="6">
        <f>IFERROR(VLOOKUP(O88,DM_Giao_vien!$A$3:$H$102,2,FALSE),"")</f>
        <v/>
      </c>
      <c r="Q88" s="6">
        <f>IFERROR(VLOOKUP(O88,DM_Giao_vien!$A$3:$H$102,8,FALSE),"")</f>
        <v/>
      </c>
      <c r="R88" s="6" t="n"/>
    </row>
    <row r="89">
      <c r="A89" s="5" t="n">
        <v>87</v>
      </c>
      <c r="B89" s="6">
        <f>IF(D89="","",Huong_dan!$B$6)</f>
        <v/>
      </c>
      <c r="C89" s="5" t="n"/>
      <c r="D89" s="5" t="n"/>
      <c r="E89" s="5" t="n"/>
      <c r="F89" s="5" t="n"/>
      <c r="G89" s="5">
        <f>IFERROR(VLOOKUP(F89,DM_Mon_GDPT2018!$A$3:$G$20,2,FALSE),"")</f>
        <v/>
      </c>
      <c r="H89" s="5">
        <f>IFERROR(VLOOKUP(F89,DM_Mon_GDPT2018!$A$3:$G$20,3,FALSE),"")</f>
        <v/>
      </c>
      <c r="I89" s="5">
        <f>IFERROR(VLOOKUP(F89,DM_Mon_GDPT2018!$A$3:$G$20,5,FALSE),"")</f>
        <v/>
      </c>
      <c r="J89" s="6">
        <f>IF($I89="","",ROUND($I89*Huong_dan!$B$7/Huong_dan!$B$9,0))</f>
        <v/>
      </c>
      <c r="K89" s="6">
        <f>IF($I89="","",$I89-$J89)</f>
        <v/>
      </c>
      <c r="L89" s="6" t="n"/>
      <c r="M89" s="6">
        <f>IFERROR(VLOOKUP(L89,DM_Giao_vien!$A$3:$H$102,2,FALSE),"")</f>
        <v/>
      </c>
      <c r="N89" s="6">
        <f>IFERROR(VLOOKUP(L89,DM_Giao_vien!$A$3:$H$102,8,FALSE),"")</f>
        <v/>
      </c>
      <c r="O89" s="6" t="n"/>
      <c r="P89" s="6">
        <f>IFERROR(VLOOKUP(O89,DM_Giao_vien!$A$3:$H$102,2,FALSE),"")</f>
        <v/>
      </c>
      <c r="Q89" s="6">
        <f>IFERROR(VLOOKUP(O89,DM_Giao_vien!$A$3:$H$102,8,FALSE),"")</f>
        <v/>
      </c>
      <c r="R89" s="6" t="n"/>
    </row>
    <row r="90">
      <c r="A90" s="5" t="n">
        <v>88</v>
      </c>
      <c r="B90" s="6">
        <f>IF(D90="","",Huong_dan!$B$6)</f>
        <v/>
      </c>
      <c r="C90" s="5" t="n"/>
      <c r="D90" s="5" t="n"/>
      <c r="E90" s="5" t="n"/>
      <c r="F90" s="5" t="n"/>
      <c r="G90" s="5">
        <f>IFERROR(VLOOKUP(F90,DM_Mon_GDPT2018!$A$3:$G$20,2,FALSE),"")</f>
        <v/>
      </c>
      <c r="H90" s="5">
        <f>IFERROR(VLOOKUP(F90,DM_Mon_GDPT2018!$A$3:$G$20,3,FALSE),"")</f>
        <v/>
      </c>
      <c r="I90" s="5">
        <f>IFERROR(VLOOKUP(F90,DM_Mon_GDPT2018!$A$3:$G$20,5,FALSE),"")</f>
        <v/>
      </c>
      <c r="J90" s="6">
        <f>IF($I90="","",ROUND($I90*Huong_dan!$B$7/Huong_dan!$B$9,0))</f>
        <v/>
      </c>
      <c r="K90" s="6">
        <f>IF($I90="","",$I90-$J90)</f>
        <v/>
      </c>
      <c r="L90" s="6" t="n"/>
      <c r="M90" s="6">
        <f>IFERROR(VLOOKUP(L90,DM_Giao_vien!$A$3:$H$102,2,FALSE),"")</f>
        <v/>
      </c>
      <c r="N90" s="6">
        <f>IFERROR(VLOOKUP(L90,DM_Giao_vien!$A$3:$H$102,8,FALSE),"")</f>
        <v/>
      </c>
      <c r="O90" s="6" t="n"/>
      <c r="P90" s="6">
        <f>IFERROR(VLOOKUP(O90,DM_Giao_vien!$A$3:$H$102,2,FALSE),"")</f>
        <v/>
      </c>
      <c r="Q90" s="6">
        <f>IFERROR(VLOOKUP(O90,DM_Giao_vien!$A$3:$H$102,8,FALSE),"")</f>
        <v/>
      </c>
      <c r="R90" s="6" t="n"/>
    </row>
    <row r="91">
      <c r="A91" s="5" t="n">
        <v>89</v>
      </c>
      <c r="B91" s="6">
        <f>IF(D91="","",Huong_dan!$B$6)</f>
        <v/>
      </c>
      <c r="C91" s="5" t="n"/>
      <c r="D91" s="5" t="n"/>
      <c r="E91" s="5" t="n"/>
      <c r="F91" s="5" t="n"/>
      <c r="G91" s="5">
        <f>IFERROR(VLOOKUP(F91,DM_Mon_GDPT2018!$A$3:$G$20,2,FALSE),"")</f>
        <v/>
      </c>
      <c r="H91" s="5">
        <f>IFERROR(VLOOKUP(F91,DM_Mon_GDPT2018!$A$3:$G$20,3,FALSE),"")</f>
        <v/>
      </c>
      <c r="I91" s="5">
        <f>IFERROR(VLOOKUP(F91,DM_Mon_GDPT2018!$A$3:$G$20,5,FALSE),"")</f>
        <v/>
      </c>
      <c r="J91" s="6">
        <f>IF($I91="","",ROUND($I91*Huong_dan!$B$7/Huong_dan!$B$9,0))</f>
        <v/>
      </c>
      <c r="K91" s="6">
        <f>IF($I91="","",$I91-$J91)</f>
        <v/>
      </c>
      <c r="L91" s="6" t="n"/>
      <c r="M91" s="6">
        <f>IFERROR(VLOOKUP(L91,DM_Giao_vien!$A$3:$H$102,2,FALSE),"")</f>
        <v/>
      </c>
      <c r="N91" s="6">
        <f>IFERROR(VLOOKUP(L91,DM_Giao_vien!$A$3:$H$102,8,FALSE),"")</f>
        <v/>
      </c>
      <c r="O91" s="6" t="n"/>
      <c r="P91" s="6">
        <f>IFERROR(VLOOKUP(O91,DM_Giao_vien!$A$3:$H$102,2,FALSE),"")</f>
        <v/>
      </c>
      <c r="Q91" s="6">
        <f>IFERROR(VLOOKUP(O91,DM_Giao_vien!$A$3:$H$102,8,FALSE),"")</f>
        <v/>
      </c>
      <c r="R91" s="6" t="n"/>
    </row>
    <row r="92">
      <c r="A92" s="5" t="n">
        <v>90</v>
      </c>
      <c r="B92" s="6">
        <f>IF(D92="","",Huong_dan!$B$6)</f>
        <v/>
      </c>
      <c r="C92" s="5" t="n"/>
      <c r="D92" s="5" t="n"/>
      <c r="E92" s="5" t="n"/>
      <c r="F92" s="5" t="n"/>
      <c r="G92" s="5">
        <f>IFERROR(VLOOKUP(F92,DM_Mon_GDPT2018!$A$3:$G$20,2,FALSE),"")</f>
        <v/>
      </c>
      <c r="H92" s="5">
        <f>IFERROR(VLOOKUP(F92,DM_Mon_GDPT2018!$A$3:$G$20,3,FALSE),"")</f>
        <v/>
      </c>
      <c r="I92" s="5">
        <f>IFERROR(VLOOKUP(F92,DM_Mon_GDPT2018!$A$3:$G$20,5,FALSE),"")</f>
        <v/>
      </c>
      <c r="J92" s="6">
        <f>IF($I92="","",ROUND($I92*Huong_dan!$B$7/Huong_dan!$B$9,0))</f>
        <v/>
      </c>
      <c r="K92" s="6">
        <f>IF($I92="","",$I92-$J92)</f>
        <v/>
      </c>
      <c r="L92" s="6" t="n"/>
      <c r="M92" s="6">
        <f>IFERROR(VLOOKUP(L92,DM_Giao_vien!$A$3:$H$102,2,FALSE),"")</f>
        <v/>
      </c>
      <c r="N92" s="6">
        <f>IFERROR(VLOOKUP(L92,DM_Giao_vien!$A$3:$H$102,8,FALSE),"")</f>
        <v/>
      </c>
      <c r="O92" s="6" t="n"/>
      <c r="P92" s="6">
        <f>IFERROR(VLOOKUP(O92,DM_Giao_vien!$A$3:$H$102,2,FALSE),"")</f>
        <v/>
      </c>
      <c r="Q92" s="6">
        <f>IFERROR(VLOOKUP(O92,DM_Giao_vien!$A$3:$H$102,8,FALSE),"")</f>
        <v/>
      </c>
      <c r="R92" s="6" t="n"/>
    </row>
    <row r="93">
      <c r="A93" s="5" t="n">
        <v>91</v>
      </c>
      <c r="B93" s="6">
        <f>IF(D93="","",Huong_dan!$B$6)</f>
        <v/>
      </c>
      <c r="C93" s="5" t="n"/>
      <c r="D93" s="5" t="n"/>
      <c r="E93" s="5" t="n"/>
      <c r="F93" s="5" t="n"/>
      <c r="G93" s="5">
        <f>IFERROR(VLOOKUP(F93,DM_Mon_GDPT2018!$A$3:$G$20,2,FALSE),"")</f>
        <v/>
      </c>
      <c r="H93" s="5">
        <f>IFERROR(VLOOKUP(F93,DM_Mon_GDPT2018!$A$3:$G$20,3,FALSE),"")</f>
        <v/>
      </c>
      <c r="I93" s="5">
        <f>IFERROR(VLOOKUP(F93,DM_Mon_GDPT2018!$A$3:$G$20,5,FALSE),"")</f>
        <v/>
      </c>
      <c r="J93" s="6">
        <f>IF($I93="","",ROUND($I93*Huong_dan!$B$7/Huong_dan!$B$9,0))</f>
        <v/>
      </c>
      <c r="K93" s="6">
        <f>IF($I93="","",$I93-$J93)</f>
        <v/>
      </c>
      <c r="L93" s="6" t="n"/>
      <c r="M93" s="6">
        <f>IFERROR(VLOOKUP(L93,DM_Giao_vien!$A$3:$H$102,2,FALSE),"")</f>
        <v/>
      </c>
      <c r="N93" s="6">
        <f>IFERROR(VLOOKUP(L93,DM_Giao_vien!$A$3:$H$102,8,FALSE),"")</f>
        <v/>
      </c>
      <c r="O93" s="6" t="n"/>
      <c r="P93" s="6">
        <f>IFERROR(VLOOKUP(O93,DM_Giao_vien!$A$3:$H$102,2,FALSE),"")</f>
        <v/>
      </c>
      <c r="Q93" s="6">
        <f>IFERROR(VLOOKUP(O93,DM_Giao_vien!$A$3:$H$102,8,FALSE),"")</f>
        <v/>
      </c>
      <c r="R93" s="6" t="n"/>
    </row>
    <row r="94">
      <c r="A94" s="5" t="n">
        <v>92</v>
      </c>
      <c r="B94" s="6">
        <f>IF(D94="","",Huong_dan!$B$6)</f>
        <v/>
      </c>
      <c r="C94" s="5" t="n"/>
      <c r="D94" s="5" t="n"/>
      <c r="E94" s="5" t="n"/>
      <c r="F94" s="5" t="n"/>
      <c r="G94" s="5">
        <f>IFERROR(VLOOKUP(F94,DM_Mon_GDPT2018!$A$3:$G$20,2,FALSE),"")</f>
        <v/>
      </c>
      <c r="H94" s="5">
        <f>IFERROR(VLOOKUP(F94,DM_Mon_GDPT2018!$A$3:$G$20,3,FALSE),"")</f>
        <v/>
      </c>
      <c r="I94" s="5">
        <f>IFERROR(VLOOKUP(F94,DM_Mon_GDPT2018!$A$3:$G$20,5,FALSE),"")</f>
        <v/>
      </c>
      <c r="J94" s="6">
        <f>IF($I94="","",ROUND($I94*Huong_dan!$B$7/Huong_dan!$B$9,0))</f>
        <v/>
      </c>
      <c r="K94" s="6">
        <f>IF($I94="","",$I94-$J94)</f>
        <v/>
      </c>
      <c r="L94" s="6" t="n"/>
      <c r="M94" s="6">
        <f>IFERROR(VLOOKUP(L94,DM_Giao_vien!$A$3:$H$102,2,FALSE),"")</f>
        <v/>
      </c>
      <c r="N94" s="6">
        <f>IFERROR(VLOOKUP(L94,DM_Giao_vien!$A$3:$H$102,8,FALSE),"")</f>
        <v/>
      </c>
      <c r="O94" s="6" t="n"/>
      <c r="P94" s="6">
        <f>IFERROR(VLOOKUP(O94,DM_Giao_vien!$A$3:$H$102,2,FALSE),"")</f>
        <v/>
      </c>
      <c r="Q94" s="6">
        <f>IFERROR(VLOOKUP(O94,DM_Giao_vien!$A$3:$H$102,8,FALSE),"")</f>
        <v/>
      </c>
      <c r="R94" s="6" t="n"/>
    </row>
    <row r="95">
      <c r="A95" s="5" t="n">
        <v>93</v>
      </c>
      <c r="B95" s="6">
        <f>IF(D95="","",Huong_dan!$B$6)</f>
        <v/>
      </c>
      <c r="C95" s="5" t="n"/>
      <c r="D95" s="5" t="n"/>
      <c r="E95" s="5" t="n"/>
      <c r="F95" s="5" t="n"/>
      <c r="G95" s="5">
        <f>IFERROR(VLOOKUP(F95,DM_Mon_GDPT2018!$A$3:$G$20,2,FALSE),"")</f>
        <v/>
      </c>
      <c r="H95" s="5">
        <f>IFERROR(VLOOKUP(F95,DM_Mon_GDPT2018!$A$3:$G$20,3,FALSE),"")</f>
        <v/>
      </c>
      <c r="I95" s="5">
        <f>IFERROR(VLOOKUP(F95,DM_Mon_GDPT2018!$A$3:$G$20,5,FALSE),"")</f>
        <v/>
      </c>
      <c r="J95" s="6">
        <f>IF($I95="","",ROUND($I95*Huong_dan!$B$7/Huong_dan!$B$9,0))</f>
        <v/>
      </c>
      <c r="K95" s="6">
        <f>IF($I95="","",$I95-$J95)</f>
        <v/>
      </c>
      <c r="L95" s="6" t="n"/>
      <c r="M95" s="6">
        <f>IFERROR(VLOOKUP(L95,DM_Giao_vien!$A$3:$H$102,2,FALSE),"")</f>
        <v/>
      </c>
      <c r="N95" s="6">
        <f>IFERROR(VLOOKUP(L95,DM_Giao_vien!$A$3:$H$102,8,FALSE),"")</f>
        <v/>
      </c>
      <c r="O95" s="6" t="n"/>
      <c r="P95" s="6">
        <f>IFERROR(VLOOKUP(O95,DM_Giao_vien!$A$3:$H$102,2,FALSE),"")</f>
        <v/>
      </c>
      <c r="Q95" s="6">
        <f>IFERROR(VLOOKUP(O95,DM_Giao_vien!$A$3:$H$102,8,FALSE),"")</f>
        <v/>
      </c>
      <c r="R95" s="6" t="n"/>
    </row>
    <row r="96">
      <c r="A96" s="5" t="n">
        <v>94</v>
      </c>
      <c r="B96" s="6">
        <f>IF(D96="","",Huong_dan!$B$6)</f>
        <v/>
      </c>
      <c r="C96" s="5" t="n"/>
      <c r="D96" s="5" t="n"/>
      <c r="E96" s="5" t="n"/>
      <c r="F96" s="5" t="n"/>
      <c r="G96" s="5">
        <f>IFERROR(VLOOKUP(F96,DM_Mon_GDPT2018!$A$3:$G$20,2,FALSE),"")</f>
        <v/>
      </c>
      <c r="H96" s="5">
        <f>IFERROR(VLOOKUP(F96,DM_Mon_GDPT2018!$A$3:$G$20,3,FALSE),"")</f>
        <v/>
      </c>
      <c r="I96" s="5">
        <f>IFERROR(VLOOKUP(F96,DM_Mon_GDPT2018!$A$3:$G$20,5,FALSE),"")</f>
        <v/>
      </c>
      <c r="J96" s="6">
        <f>IF($I96="","",ROUND($I96*Huong_dan!$B$7/Huong_dan!$B$9,0))</f>
        <v/>
      </c>
      <c r="K96" s="6">
        <f>IF($I96="","",$I96-$J96)</f>
        <v/>
      </c>
      <c r="L96" s="6" t="n"/>
      <c r="M96" s="6">
        <f>IFERROR(VLOOKUP(L96,DM_Giao_vien!$A$3:$H$102,2,FALSE),"")</f>
        <v/>
      </c>
      <c r="N96" s="6">
        <f>IFERROR(VLOOKUP(L96,DM_Giao_vien!$A$3:$H$102,8,FALSE),"")</f>
        <v/>
      </c>
      <c r="O96" s="6" t="n"/>
      <c r="P96" s="6">
        <f>IFERROR(VLOOKUP(O96,DM_Giao_vien!$A$3:$H$102,2,FALSE),"")</f>
        <v/>
      </c>
      <c r="Q96" s="6">
        <f>IFERROR(VLOOKUP(O96,DM_Giao_vien!$A$3:$H$102,8,FALSE),"")</f>
        <v/>
      </c>
      <c r="R96" s="6" t="n"/>
    </row>
    <row r="97">
      <c r="A97" s="5" t="n">
        <v>95</v>
      </c>
      <c r="B97" s="6">
        <f>IF(D97="","",Huong_dan!$B$6)</f>
        <v/>
      </c>
      <c r="C97" s="5" t="n"/>
      <c r="D97" s="5" t="n"/>
      <c r="E97" s="5" t="n"/>
      <c r="F97" s="5" t="n"/>
      <c r="G97" s="5">
        <f>IFERROR(VLOOKUP(F97,DM_Mon_GDPT2018!$A$3:$G$20,2,FALSE),"")</f>
        <v/>
      </c>
      <c r="H97" s="5">
        <f>IFERROR(VLOOKUP(F97,DM_Mon_GDPT2018!$A$3:$G$20,3,FALSE),"")</f>
        <v/>
      </c>
      <c r="I97" s="5">
        <f>IFERROR(VLOOKUP(F97,DM_Mon_GDPT2018!$A$3:$G$20,5,FALSE),"")</f>
        <v/>
      </c>
      <c r="J97" s="6">
        <f>IF($I97="","",ROUND($I97*Huong_dan!$B$7/Huong_dan!$B$9,0))</f>
        <v/>
      </c>
      <c r="K97" s="6">
        <f>IF($I97="","",$I97-$J97)</f>
        <v/>
      </c>
      <c r="L97" s="6" t="n"/>
      <c r="M97" s="6">
        <f>IFERROR(VLOOKUP(L97,DM_Giao_vien!$A$3:$H$102,2,FALSE),"")</f>
        <v/>
      </c>
      <c r="N97" s="6">
        <f>IFERROR(VLOOKUP(L97,DM_Giao_vien!$A$3:$H$102,8,FALSE),"")</f>
        <v/>
      </c>
      <c r="O97" s="6" t="n"/>
      <c r="P97" s="6">
        <f>IFERROR(VLOOKUP(O97,DM_Giao_vien!$A$3:$H$102,2,FALSE),"")</f>
        <v/>
      </c>
      <c r="Q97" s="6">
        <f>IFERROR(VLOOKUP(O97,DM_Giao_vien!$A$3:$H$102,8,FALSE),"")</f>
        <v/>
      </c>
      <c r="R97" s="6" t="n"/>
    </row>
    <row r="98">
      <c r="A98" s="5" t="n">
        <v>96</v>
      </c>
      <c r="B98" s="6">
        <f>IF(D98="","",Huong_dan!$B$6)</f>
        <v/>
      </c>
      <c r="C98" s="5" t="n"/>
      <c r="D98" s="5" t="n"/>
      <c r="E98" s="5" t="n"/>
      <c r="F98" s="5" t="n"/>
      <c r="G98" s="5">
        <f>IFERROR(VLOOKUP(F98,DM_Mon_GDPT2018!$A$3:$G$20,2,FALSE),"")</f>
        <v/>
      </c>
      <c r="H98" s="5">
        <f>IFERROR(VLOOKUP(F98,DM_Mon_GDPT2018!$A$3:$G$20,3,FALSE),"")</f>
        <v/>
      </c>
      <c r="I98" s="5">
        <f>IFERROR(VLOOKUP(F98,DM_Mon_GDPT2018!$A$3:$G$20,5,FALSE),"")</f>
        <v/>
      </c>
      <c r="J98" s="6">
        <f>IF($I98="","",ROUND($I98*Huong_dan!$B$7/Huong_dan!$B$9,0))</f>
        <v/>
      </c>
      <c r="K98" s="6">
        <f>IF($I98="","",$I98-$J98)</f>
        <v/>
      </c>
      <c r="L98" s="6" t="n"/>
      <c r="M98" s="6">
        <f>IFERROR(VLOOKUP(L98,DM_Giao_vien!$A$3:$H$102,2,FALSE),"")</f>
        <v/>
      </c>
      <c r="N98" s="6">
        <f>IFERROR(VLOOKUP(L98,DM_Giao_vien!$A$3:$H$102,8,FALSE),"")</f>
        <v/>
      </c>
      <c r="O98" s="6" t="n"/>
      <c r="P98" s="6">
        <f>IFERROR(VLOOKUP(O98,DM_Giao_vien!$A$3:$H$102,2,FALSE),"")</f>
        <v/>
      </c>
      <c r="Q98" s="6">
        <f>IFERROR(VLOOKUP(O98,DM_Giao_vien!$A$3:$H$102,8,FALSE),"")</f>
        <v/>
      </c>
      <c r="R98" s="6" t="n"/>
    </row>
    <row r="99">
      <c r="A99" s="5" t="n">
        <v>97</v>
      </c>
      <c r="B99" s="6">
        <f>IF(D99="","",Huong_dan!$B$6)</f>
        <v/>
      </c>
      <c r="C99" s="5" t="n"/>
      <c r="D99" s="5" t="n"/>
      <c r="E99" s="5" t="n"/>
      <c r="F99" s="5" t="n"/>
      <c r="G99" s="5">
        <f>IFERROR(VLOOKUP(F99,DM_Mon_GDPT2018!$A$3:$G$20,2,FALSE),"")</f>
        <v/>
      </c>
      <c r="H99" s="5">
        <f>IFERROR(VLOOKUP(F99,DM_Mon_GDPT2018!$A$3:$G$20,3,FALSE),"")</f>
        <v/>
      </c>
      <c r="I99" s="5">
        <f>IFERROR(VLOOKUP(F99,DM_Mon_GDPT2018!$A$3:$G$20,5,FALSE),"")</f>
        <v/>
      </c>
      <c r="J99" s="6">
        <f>IF($I99="","",ROUND($I99*Huong_dan!$B$7/Huong_dan!$B$9,0))</f>
        <v/>
      </c>
      <c r="K99" s="6">
        <f>IF($I99="","",$I99-$J99)</f>
        <v/>
      </c>
      <c r="L99" s="6" t="n"/>
      <c r="M99" s="6">
        <f>IFERROR(VLOOKUP(L99,DM_Giao_vien!$A$3:$H$102,2,FALSE),"")</f>
        <v/>
      </c>
      <c r="N99" s="6">
        <f>IFERROR(VLOOKUP(L99,DM_Giao_vien!$A$3:$H$102,8,FALSE),"")</f>
        <v/>
      </c>
      <c r="O99" s="6" t="n"/>
      <c r="P99" s="6">
        <f>IFERROR(VLOOKUP(O99,DM_Giao_vien!$A$3:$H$102,2,FALSE),"")</f>
        <v/>
      </c>
      <c r="Q99" s="6">
        <f>IFERROR(VLOOKUP(O99,DM_Giao_vien!$A$3:$H$102,8,FALSE),"")</f>
        <v/>
      </c>
      <c r="R99" s="6" t="n"/>
    </row>
    <row r="100">
      <c r="A100" s="5" t="n">
        <v>98</v>
      </c>
      <c r="B100" s="6">
        <f>IF(D100="","",Huong_dan!$B$6)</f>
        <v/>
      </c>
      <c r="C100" s="5" t="n"/>
      <c r="D100" s="5" t="n"/>
      <c r="E100" s="5" t="n"/>
      <c r="F100" s="5" t="n"/>
      <c r="G100" s="5">
        <f>IFERROR(VLOOKUP(F100,DM_Mon_GDPT2018!$A$3:$G$20,2,FALSE),"")</f>
        <v/>
      </c>
      <c r="H100" s="5">
        <f>IFERROR(VLOOKUP(F100,DM_Mon_GDPT2018!$A$3:$G$20,3,FALSE),"")</f>
        <v/>
      </c>
      <c r="I100" s="5">
        <f>IFERROR(VLOOKUP(F100,DM_Mon_GDPT2018!$A$3:$G$20,5,FALSE),"")</f>
        <v/>
      </c>
      <c r="J100" s="6">
        <f>IF($I100="","",ROUND($I100*Huong_dan!$B$7/Huong_dan!$B$9,0))</f>
        <v/>
      </c>
      <c r="K100" s="6">
        <f>IF($I100="","",$I100-$J100)</f>
        <v/>
      </c>
      <c r="L100" s="6" t="n"/>
      <c r="M100" s="6">
        <f>IFERROR(VLOOKUP(L100,DM_Giao_vien!$A$3:$H$102,2,FALSE),"")</f>
        <v/>
      </c>
      <c r="N100" s="6">
        <f>IFERROR(VLOOKUP(L100,DM_Giao_vien!$A$3:$H$102,8,FALSE),"")</f>
        <v/>
      </c>
      <c r="O100" s="6" t="n"/>
      <c r="P100" s="6">
        <f>IFERROR(VLOOKUP(O100,DM_Giao_vien!$A$3:$H$102,2,FALSE),"")</f>
        <v/>
      </c>
      <c r="Q100" s="6">
        <f>IFERROR(VLOOKUP(O100,DM_Giao_vien!$A$3:$H$102,8,FALSE),"")</f>
        <v/>
      </c>
      <c r="R100" s="6" t="n"/>
    </row>
    <row r="101">
      <c r="A101" s="5" t="n">
        <v>99</v>
      </c>
      <c r="B101" s="6">
        <f>IF(D101="","",Huong_dan!$B$6)</f>
        <v/>
      </c>
      <c r="C101" s="5" t="n"/>
      <c r="D101" s="5" t="n"/>
      <c r="E101" s="5" t="n"/>
      <c r="F101" s="5" t="n"/>
      <c r="G101" s="5">
        <f>IFERROR(VLOOKUP(F101,DM_Mon_GDPT2018!$A$3:$G$20,2,FALSE),"")</f>
        <v/>
      </c>
      <c r="H101" s="5">
        <f>IFERROR(VLOOKUP(F101,DM_Mon_GDPT2018!$A$3:$G$20,3,FALSE),"")</f>
        <v/>
      </c>
      <c r="I101" s="5">
        <f>IFERROR(VLOOKUP(F101,DM_Mon_GDPT2018!$A$3:$G$20,5,FALSE),"")</f>
        <v/>
      </c>
      <c r="J101" s="6">
        <f>IF($I101="","",ROUND($I101*Huong_dan!$B$7/Huong_dan!$B$9,0))</f>
        <v/>
      </c>
      <c r="K101" s="6">
        <f>IF($I101="","",$I101-$J101)</f>
        <v/>
      </c>
      <c r="L101" s="6" t="n"/>
      <c r="M101" s="6">
        <f>IFERROR(VLOOKUP(L101,DM_Giao_vien!$A$3:$H$102,2,FALSE),"")</f>
        <v/>
      </c>
      <c r="N101" s="6">
        <f>IFERROR(VLOOKUP(L101,DM_Giao_vien!$A$3:$H$102,8,FALSE),"")</f>
        <v/>
      </c>
      <c r="O101" s="6" t="n"/>
      <c r="P101" s="6">
        <f>IFERROR(VLOOKUP(O101,DM_Giao_vien!$A$3:$H$102,2,FALSE),"")</f>
        <v/>
      </c>
      <c r="Q101" s="6">
        <f>IFERROR(VLOOKUP(O101,DM_Giao_vien!$A$3:$H$102,8,FALSE),"")</f>
        <v/>
      </c>
      <c r="R101" s="6" t="n"/>
    </row>
    <row r="102">
      <c r="A102" s="5" t="n">
        <v>100</v>
      </c>
      <c r="B102" s="6">
        <f>IF(D102="","",Huong_dan!$B$6)</f>
        <v/>
      </c>
      <c r="C102" s="5" t="n"/>
      <c r="D102" s="5" t="n"/>
      <c r="E102" s="5" t="n"/>
      <c r="F102" s="5" t="n"/>
      <c r="G102" s="5">
        <f>IFERROR(VLOOKUP(F102,DM_Mon_GDPT2018!$A$3:$G$20,2,FALSE),"")</f>
        <v/>
      </c>
      <c r="H102" s="5">
        <f>IFERROR(VLOOKUP(F102,DM_Mon_GDPT2018!$A$3:$G$20,3,FALSE),"")</f>
        <v/>
      </c>
      <c r="I102" s="5">
        <f>IFERROR(VLOOKUP(F102,DM_Mon_GDPT2018!$A$3:$G$20,5,FALSE),"")</f>
        <v/>
      </c>
      <c r="J102" s="6">
        <f>IF($I102="","",ROUND($I102*Huong_dan!$B$7/Huong_dan!$B$9,0))</f>
        <v/>
      </c>
      <c r="K102" s="6">
        <f>IF($I102="","",$I102-$J102)</f>
        <v/>
      </c>
      <c r="L102" s="6" t="n"/>
      <c r="M102" s="6">
        <f>IFERROR(VLOOKUP(L102,DM_Giao_vien!$A$3:$H$102,2,FALSE),"")</f>
        <v/>
      </c>
      <c r="N102" s="6">
        <f>IFERROR(VLOOKUP(L102,DM_Giao_vien!$A$3:$H$102,8,FALSE),"")</f>
        <v/>
      </c>
      <c r="O102" s="6" t="n"/>
      <c r="P102" s="6">
        <f>IFERROR(VLOOKUP(O102,DM_Giao_vien!$A$3:$H$102,2,FALSE),"")</f>
        <v/>
      </c>
      <c r="Q102" s="6">
        <f>IFERROR(VLOOKUP(O102,DM_Giao_vien!$A$3:$H$102,8,FALSE),"")</f>
        <v/>
      </c>
      <c r="R102" s="6" t="n"/>
    </row>
    <row r="103">
      <c r="A103" s="5" t="n">
        <v>101</v>
      </c>
      <c r="B103" s="6">
        <f>IF(D103="","",Huong_dan!$B$6)</f>
        <v/>
      </c>
      <c r="C103" s="5" t="n"/>
      <c r="D103" s="5" t="n"/>
      <c r="E103" s="5" t="n"/>
      <c r="F103" s="5" t="n"/>
      <c r="G103" s="5">
        <f>IFERROR(VLOOKUP(F103,DM_Mon_GDPT2018!$A$3:$G$20,2,FALSE),"")</f>
        <v/>
      </c>
      <c r="H103" s="5">
        <f>IFERROR(VLOOKUP(F103,DM_Mon_GDPT2018!$A$3:$G$20,3,FALSE),"")</f>
        <v/>
      </c>
      <c r="I103" s="5">
        <f>IFERROR(VLOOKUP(F103,DM_Mon_GDPT2018!$A$3:$G$20,5,FALSE),"")</f>
        <v/>
      </c>
      <c r="J103" s="6">
        <f>IF($I103="","",ROUND($I103*Huong_dan!$B$7/Huong_dan!$B$9,0))</f>
        <v/>
      </c>
      <c r="K103" s="6">
        <f>IF($I103="","",$I103-$J103)</f>
        <v/>
      </c>
      <c r="L103" s="6" t="n"/>
      <c r="M103" s="6">
        <f>IFERROR(VLOOKUP(L103,DM_Giao_vien!$A$3:$H$102,2,FALSE),"")</f>
        <v/>
      </c>
      <c r="N103" s="6">
        <f>IFERROR(VLOOKUP(L103,DM_Giao_vien!$A$3:$H$102,8,FALSE),"")</f>
        <v/>
      </c>
      <c r="O103" s="6" t="n"/>
      <c r="P103" s="6">
        <f>IFERROR(VLOOKUP(O103,DM_Giao_vien!$A$3:$H$102,2,FALSE),"")</f>
        <v/>
      </c>
      <c r="Q103" s="6">
        <f>IFERROR(VLOOKUP(O103,DM_Giao_vien!$A$3:$H$102,8,FALSE),"")</f>
        <v/>
      </c>
      <c r="R103" s="6" t="n"/>
    </row>
    <row r="104">
      <c r="A104" s="5" t="n">
        <v>102</v>
      </c>
      <c r="B104" s="6">
        <f>IF(D104="","",Huong_dan!$B$6)</f>
        <v/>
      </c>
      <c r="C104" s="5" t="n"/>
      <c r="D104" s="5" t="n"/>
      <c r="E104" s="5" t="n"/>
      <c r="F104" s="5" t="n"/>
      <c r="G104" s="5">
        <f>IFERROR(VLOOKUP(F104,DM_Mon_GDPT2018!$A$3:$G$20,2,FALSE),"")</f>
        <v/>
      </c>
      <c r="H104" s="5">
        <f>IFERROR(VLOOKUP(F104,DM_Mon_GDPT2018!$A$3:$G$20,3,FALSE),"")</f>
        <v/>
      </c>
      <c r="I104" s="5">
        <f>IFERROR(VLOOKUP(F104,DM_Mon_GDPT2018!$A$3:$G$20,5,FALSE),"")</f>
        <v/>
      </c>
      <c r="J104" s="6">
        <f>IF($I104="","",ROUND($I104*Huong_dan!$B$7/Huong_dan!$B$9,0))</f>
        <v/>
      </c>
      <c r="K104" s="6">
        <f>IF($I104="","",$I104-$J104)</f>
        <v/>
      </c>
      <c r="L104" s="6" t="n"/>
      <c r="M104" s="6">
        <f>IFERROR(VLOOKUP(L104,DM_Giao_vien!$A$3:$H$102,2,FALSE),"")</f>
        <v/>
      </c>
      <c r="N104" s="6">
        <f>IFERROR(VLOOKUP(L104,DM_Giao_vien!$A$3:$H$102,8,FALSE),"")</f>
        <v/>
      </c>
      <c r="O104" s="6" t="n"/>
      <c r="P104" s="6">
        <f>IFERROR(VLOOKUP(O104,DM_Giao_vien!$A$3:$H$102,2,FALSE),"")</f>
        <v/>
      </c>
      <c r="Q104" s="6">
        <f>IFERROR(VLOOKUP(O104,DM_Giao_vien!$A$3:$H$102,8,FALSE),"")</f>
        <v/>
      </c>
      <c r="R104" s="6" t="n"/>
    </row>
    <row r="105">
      <c r="A105" s="5" t="n">
        <v>103</v>
      </c>
      <c r="B105" s="6">
        <f>IF(D105="","",Huong_dan!$B$6)</f>
        <v/>
      </c>
      <c r="C105" s="5" t="n"/>
      <c r="D105" s="5" t="n"/>
      <c r="E105" s="5" t="n"/>
      <c r="F105" s="5" t="n"/>
      <c r="G105" s="5">
        <f>IFERROR(VLOOKUP(F105,DM_Mon_GDPT2018!$A$3:$G$20,2,FALSE),"")</f>
        <v/>
      </c>
      <c r="H105" s="5">
        <f>IFERROR(VLOOKUP(F105,DM_Mon_GDPT2018!$A$3:$G$20,3,FALSE),"")</f>
        <v/>
      </c>
      <c r="I105" s="5">
        <f>IFERROR(VLOOKUP(F105,DM_Mon_GDPT2018!$A$3:$G$20,5,FALSE),"")</f>
        <v/>
      </c>
      <c r="J105" s="6">
        <f>IF($I105="","",ROUND($I105*Huong_dan!$B$7/Huong_dan!$B$9,0))</f>
        <v/>
      </c>
      <c r="K105" s="6">
        <f>IF($I105="","",$I105-$J105)</f>
        <v/>
      </c>
      <c r="L105" s="6" t="n"/>
      <c r="M105" s="6">
        <f>IFERROR(VLOOKUP(L105,DM_Giao_vien!$A$3:$H$102,2,FALSE),"")</f>
        <v/>
      </c>
      <c r="N105" s="6">
        <f>IFERROR(VLOOKUP(L105,DM_Giao_vien!$A$3:$H$102,8,FALSE),"")</f>
        <v/>
      </c>
      <c r="O105" s="6" t="n"/>
      <c r="P105" s="6">
        <f>IFERROR(VLOOKUP(O105,DM_Giao_vien!$A$3:$H$102,2,FALSE),"")</f>
        <v/>
      </c>
      <c r="Q105" s="6">
        <f>IFERROR(VLOOKUP(O105,DM_Giao_vien!$A$3:$H$102,8,FALSE),"")</f>
        <v/>
      </c>
      <c r="R105" s="6" t="n"/>
    </row>
    <row r="106">
      <c r="A106" s="5" t="n">
        <v>104</v>
      </c>
      <c r="B106" s="6">
        <f>IF(D106="","",Huong_dan!$B$6)</f>
        <v/>
      </c>
      <c r="C106" s="5" t="n"/>
      <c r="D106" s="5" t="n"/>
      <c r="E106" s="5" t="n"/>
      <c r="F106" s="5" t="n"/>
      <c r="G106" s="5">
        <f>IFERROR(VLOOKUP(F106,DM_Mon_GDPT2018!$A$3:$G$20,2,FALSE),"")</f>
        <v/>
      </c>
      <c r="H106" s="5">
        <f>IFERROR(VLOOKUP(F106,DM_Mon_GDPT2018!$A$3:$G$20,3,FALSE),"")</f>
        <v/>
      </c>
      <c r="I106" s="5">
        <f>IFERROR(VLOOKUP(F106,DM_Mon_GDPT2018!$A$3:$G$20,5,FALSE),"")</f>
        <v/>
      </c>
      <c r="J106" s="6">
        <f>IF($I106="","",ROUND($I106*Huong_dan!$B$7/Huong_dan!$B$9,0))</f>
        <v/>
      </c>
      <c r="K106" s="6">
        <f>IF($I106="","",$I106-$J106)</f>
        <v/>
      </c>
      <c r="L106" s="6" t="n"/>
      <c r="M106" s="6">
        <f>IFERROR(VLOOKUP(L106,DM_Giao_vien!$A$3:$H$102,2,FALSE),"")</f>
        <v/>
      </c>
      <c r="N106" s="6">
        <f>IFERROR(VLOOKUP(L106,DM_Giao_vien!$A$3:$H$102,8,FALSE),"")</f>
        <v/>
      </c>
      <c r="O106" s="6" t="n"/>
      <c r="P106" s="6">
        <f>IFERROR(VLOOKUP(O106,DM_Giao_vien!$A$3:$H$102,2,FALSE),"")</f>
        <v/>
      </c>
      <c r="Q106" s="6">
        <f>IFERROR(VLOOKUP(O106,DM_Giao_vien!$A$3:$H$102,8,FALSE),"")</f>
        <v/>
      </c>
      <c r="R106" s="6" t="n"/>
    </row>
    <row r="107">
      <c r="A107" s="5" t="n">
        <v>105</v>
      </c>
      <c r="B107" s="6">
        <f>IF(D107="","",Huong_dan!$B$6)</f>
        <v/>
      </c>
      <c r="C107" s="5" t="n"/>
      <c r="D107" s="5" t="n"/>
      <c r="E107" s="5" t="n"/>
      <c r="F107" s="5" t="n"/>
      <c r="G107" s="5">
        <f>IFERROR(VLOOKUP(F107,DM_Mon_GDPT2018!$A$3:$G$20,2,FALSE),"")</f>
        <v/>
      </c>
      <c r="H107" s="5">
        <f>IFERROR(VLOOKUP(F107,DM_Mon_GDPT2018!$A$3:$G$20,3,FALSE),"")</f>
        <v/>
      </c>
      <c r="I107" s="5">
        <f>IFERROR(VLOOKUP(F107,DM_Mon_GDPT2018!$A$3:$G$20,5,FALSE),"")</f>
        <v/>
      </c>
      <c r="J107" s="6">
        <f>IF($I107="","",ROUND($I107*Huong_dan!$B$7/Huong_dan!$B$9,0))</f>
        <v/>
      </c>
      <c r="K107" s="6">
        <f>IF($I107="","",$I107-$J107)</f>
        <v/>
      </c>
      <c r="L107" s="6" t="n"/>
      <c r="M107" s="6">
        <f>IFERROR(VLOOKUP(L107,DM_Giao_vien!$A$3:$H$102,2,FALSE),"")</f>
        <v/>
      </c>
      <c r="N107" s="6">
        <f>IFERROR(VLOOKUP(L107,DM_Giao_vien!$A$3:$H$102,8,FALSE),"")</f>
        <v/>
      </c>
      <c r="O107" s="6" t="n"/>
      <c r="P107" s="6">
        <f>IFERROR(VLOOKUP(O107,DM_Giao_vien!$A$3:$H$102,2,FALSE),"")</f>
        <v/>
      </c>
      <c r="Q107" s="6">
        <f>IFERROR(VLOOKUP(O107,DM_Giao_vien!$A$3:$H$102,8,FALSE),"")</f>
        <v/>
      </c>
      <c r="R107" s="6" t="n"/>
    </row>
    <row r="108">
      <c r="A108" s="5" t="n">
        <v>106</v>
      </c>
      <c r="B108" s="6">
        <f>IF(D108="","",Huong_dan!$B$6)</f>
        <v/>
      </c>
      <c r="C108" s="5" t="n"/>
      <c r="D108" s="5" t="n"/>
      <c r="E108" s="5" t="n"/>
      <c r="F108" s="5" t="n"/>
      <c r="G108" s="5">
        <f>IFERROR(VLOOKUP(F108,DM_Mon_GDPT2018!$A$3:$G$20,2,FALSE),"")</f>
        <v/>
      </c>
      <c r="H108" s="5">
        <f>IFERROR(VLOOKUP(F108,DM_Mon_GDPT2018!$A$3:$G$20,3,FALSE),"")</f>
        <v/>
      </c>
      <c r="I108" s="5">
        <f>IFERROR(VLOOKUP(F108,DM_Mon_GDPT2018!$A$3:$G$20,5,FALSE),"")</f>
        <v/>
      </c>
      <c r="J108" s="6">
        <f>IF($I108="","",ROUND($I108*Huong_dan!$B$7/Huong_dan!$B$9,0))</f>
        <v/>
      </c>
      <c r="K108" s="6">
        <f>IF($I108="","",$I108-$J108)</f>
        <v/>
      </c>
      <c r="L108" s="6" t="n"/>
      <c r="M108" s="6">
        <f>IFERROR(VLOOKUP(L108,DM_Giao_vien!$A$3:$H$102,2,FALSE),"")</f>
        <v/>
      </c>
      <c r="N108" s="6">
        <f>IFERROR(VLOOKUP(L108,DM_Giao_vien!$A$3:$H$102,8,FALSE),"")</f>
        <v/>
      </c>
      <c r="O108" s="6" t="n"/>
      <c r="P108" s="6">
        <f>IFERROR(VLOOKUP(O108,DM_Giao_vien!$A$3:$H$102,2,FALSE),"")</f>
        <v/>
      </c>
      <c r="Q108" s="6">
        <f>IFERROR(VLOOKUP(O108,DM_Giao_vien!$A$3:$H$102,8,FALSE),"")</f>
        <v/>
      </c>
      <c r="R108" s="6" t="n"/>
    </row>
    <row r="109">
      <c r="A109" s="5" t="n">
        <v>107</v>
      </c>
      <c r="B109" s="6">
        <f>IF(D109="","",Huong_dan!$B$6)</f>
        <v/>
      </c>
      <c r="C109" s="5" t="n"/>
      <c r="D109" s="5" t="n"/>
      <c r="E109" s="5" t="n"/>
      <c r="F109" s="5" t="n"/>
      <c r="G109" s="5">
        <f>IFERROR(VLOOKUP(F109,DM_Mon_GDPT2018!$A$3:$G$20,2,FALSE),"")</f>
        <v/>
      </c>
      <c r="H109" s="5">
        <f>IFERROR(VLOOKUP(F109,DM_Mon_GDPT2018!$A$3:$G$20,3,FALSE),"")</f>
        <v/>
      </c>
      <c r="I109" s="5">
        <f>IFERROR(VLOOKUP(F109,DM_Mon_GDPT2018!$A$3:$G$20,5,FALSE),"")</f>
        <v/>
      </c>
      <c r="J109" s="6">
        <f>IF($I109="","",ROUND($I109*Huong_dan!$B$7/Huong_dan!$B$9,0))</f>
        <v/>
      </c>
      <c r="K109" s="6">
        <f>IF($I109="","",$I109-$J109)</f>
        <v/>
      </c>
      <c r="L109" s="6" t="n"/>
      <c r="M109" s="6">
        <f>IFERROR(VLOOKUP(L109,DM_Giao_vien!$A$3:$H$102,2,FALSE),"")</f>
        <v/>
      </c>
      <c r="N109" s="6">
        <f>IFERROR(VLOOKUP(L109,DM_Giao_vien!$A$3:$H$102,8,FALSE),"")</f>
        <v/>
      </c>
      <c r="O109" s="6" t="n"/>
      <c r="P109" s="6">
        <f>IFERROR(VLOOKUP(O109,DM_Giao_vien!$A$3:$H$102,2,FALSE),"")</f>
        <v/>
      </c>
      <c r="Q109" s="6">
        <f>IFERROR(VLOOKUP(O109,DM_Giao_vien!$A$3:$H$102,8,FALSE),"")</f>
        <v/>
      </c>
      <c r="R109" s="6" t="n"/>
    </row>
    <row r="110">
      <c r="A110" s="5" t="n">
        <v>108</v>
      </c>
      <c r="B110" s="6">
        <f>IF(D110="","",Huong_dan!$B$6)</f>
        <v/>
      </c>
      <c r="C110" s="5" t="n"/>
      <c r="D110" s="5" t="n"/>
      <c r="E110" s="5" t="n"/>
      <c r="F110" s="5" t="n"/>
      <c r="G110" s="5">
        <f>IFERROR(VLOOKUP(F110,DM_Mon_GDPT2018!$A$3:$G$20,2,FALSE),"")</f>
        <v/>
      </c>
      <c r="H110" s="5">
        <f>IFERROR(VLOOKUP(F110,DM_Mon_GDPT2018!$A$3:$G$20,3,FALSE),"")</f>
        <v/>
      </c>
      <c r="I110" s="5">
        <f>IFERROR(VLOOKUP(F110,DM_Mon_GDPT2018!$A$3:$G$20,5,FALSE),"")</f>
        <v/>
      </c>
      <c r="J110" s="6">
        <f>IF($I110="","",ROUND($I110*Huong_dan!$B$7/Huong_dan!$B$9,0))</f>
        <v/>
      </c>
      <c r="K110" s="6">
        <f>IF($I110="","",$I110-$J110)</f>
        <v/>
      </c>
      <c r="L110" s="6" t="n"/>
      <c r="M110" s="6">
        <f>IFERROR(VLOOKUP(L110,DM_Giao_vien!$A$3:$H$102,2,FALSE),"")</f>
        <v/>
      </c>
      <c r="N110" s="6">
        <f>IFERROR(VLOOKUP(L110,DM_Giao_vien!$A$3:$H$102,8,FALSE),"")</f>
        <v/>
      </c>
      <c r="O110" s="6" t="n"/>
      <c r="P110" s="6">
        <f>IFERROR(VLOOKUP(O110,DM_Giao_vien!$A$3:$H$102,2,FALSE),"")</f>
        <v/>
      </c>
      <c r="Q110" s="6">
        <f>IFERROR(VLOOKUP(O110,DM_Giao_vien!$A$3:$H$102,8,FALSE),"")</f>
        <v/>
      </c>
      <c r="R110" s="6" t="n"/>
    </row>
    <row r="111">
      <c r="A111" s="5" t="n">
        <v>109</v>
      </c>
      <c r="B111" s="6">
        <f>IF(D111="","",Huong_dan!$B$6)</f>
        <v/>
      </c>
      <c r="C111" s="5" t="n"/>
      <c r="D111" s="5" t="n"/>
      <c r="E111" s="5" t="n"/>
      <c r="F111" s="5" t="n"/>
      <c r="G111" s="5">
        <f>IFERROR(VLOOKUP(F111,DM_Mon_GDPT2018!$A$3:$G$20,2,FALSE),"")</f>
        <v/>
      </c>
      <c r="H111" s="5">
        <f>IFERROR(VLOOKUP(F111,DM_Mon_GDPT2018!$A$3:$G$20,3,FALSE),"")</f>
        <v/>
      </c>
      <c r="I111" s="5">
        <f>IFERROR(VLOOKUP(F111,DM_Mon_GDPT2018!$A$3:$G$20,5,FALSE),"")</f>
        <v/>
      </c>
      <c r="J111" s="6">
        <f>IF($I111="","",ROUND($I111*Huong_dan!$B$7/Huong_dan!$B$9,0))</f>
        <v/>
      </c>
      <c r="K111" s="6">
        <f>IF($I111="","",$I111-$J111)</f>
        <v/>
      </c>
      <c r="L111" s="6" t="n"/>
      <c r="M111" s="6">
        <f>IFERROR(VLOOKUP(L111,DM_Giao_vien!$A$3:$H$102,2,FALSE),"")</f>
        <v/>
      </c>
      <c r="N111" s="6">
        <f>IFERROR(VLOOKUP(L111,DM_Giao_vien!$A$3:$H$102,8,FALSE),"")</f>
        <v/>
      </c>
      <c r="O111" s="6" t="n"/>
      <c r="P111" s="6">
        <f>IFERROR(VLOOKUP(O111,DM_Giao_vien!$A$3:$H$102,2,FALSE),"")</f>
        <v/>
      </c>
      <c r="Q111" s="6">
        <f>IFERROR(VLOOKUP(O111,DM_Giao_vien!$A$3:$H$102,8,FALSE),"")</f>
        <v/>
      </c>
      <c r="R111" s="6" t="n"/>
    </row>
    <row r="112">
      <c r="A112" s="5" t="n">
        <v>110</v>
      </c>
      <c r="B112" s="6">
        <f>IF(D112="","",Huong_dan!$B$6)</f>
        <v/>
      </c>
      <c r="C112" s="5" t="n"/>
      <c r="D112" s="5" t="n"/>
      <c r="E112" s="5" t="n"/>
      <c r="F112" s="5" t="n"/>
      <c r="G112" s="5">
        <f>IFERROR(VLOOKUP(F112,DM_Mon_GDPT2018!$A$3:$G$20,2,FALSE),"")</f>
        <v/>
      </c>
      <c r="H112" s="5">
        <f>IFERROR(VLOOKUP(F112,DM_Mon_GDPT2018!$A$3:$G$20,3,FALSE),"")</f>
        <v/>
      </c>
      <c r="I112" s="5">
        <f>IFERROR(VLOOKUP(F112,DM_Mon_GDPT2018!$A$3:$G$20,5,FALSE),"")</f>
        <v/>
      </c>
      <c r="J112" s="6">
        <f>IF($I112="","",ROUND($I112*Huong_dan!$B$7/Huong_dan!$B$9,0))</f>
        <v/>
      </c>
      <c r="K112" s="6">
        <f>IF($I112="","",$I112-$J112)</f>
        <v/>
      </c>
      <c r="L112" s="6" t="n"/>
      <c r="M112" s="6">
        <f>IFERROR(VLOOKUP(L112,DM_Giao_vien!$A$3:$H$102,2,FALSE),"")</f>
        <v/>
      </c>
      <c r="N112" s="6">
        <f>IFERROR(VLOOKUP(L112,DM_Giao_vien!$A$3:$H$102,8,FALSE),"")</f>
        <v/>
      </c>
      <c r="O112" s="6" t="n"/>
      <c r="P112" s="6">
        <f>IFERROR(VLOOKUP(O112,DM_Giao_vien!$A$3:$H$102,2,FALSE),"")</f>
        <v/>
      </c>
      <c r="Q112" s="6">
        <f>IFERROR(VLOOKUP(O112,DM_Giao_vien!$A$3:$H$102,8,FALSE),"")</f>
        <v/>
      </c>
      <c r="R112" s="6" t="n"/>
    </row>
    <row r="113">
      <c r="A113" s="5" t="n">
        <v>111</v>
      </c>
      <c r="B113" s="6">
        <f>IF(D113="","",Huong_dan!$B$6)</f>
        <v/>
      </c>
      <c r="C113" s="5" t="n"/>
      <c r="D113" s="5" t="n"/>
      <c r="E113" s="5" t="n"/>
      <c r="F113" s="5" t="n"/>
      <c r="G113" s="5">
        <f>IFERROR(VLOOKUP(F113,DM_Mon_GDPT2018!$A$3:$G$20,2,FALSE),"")</f>
        <v/>
      </c>
      <c r="H113" s="5">
        <f>IFERROR(VLOOKUP(F113,DM_Mon_GDPT2018!$A$3:$G$20,3,FALSE),"")</f>
        <v/>
      </c>
      <c r="I113" s="5">
        <f>IFERROR(VLOOKUP(F113,DM_Mon_GDPT2018!$A$3:$G$20,5,FALSE),"")</f>
        <v/>
      </c>
      <c r="J113" s="6">
        <f>IF($I113="","",ROUND($I113*Huong_dan!$B$7/Huong_dan!$B$9,0))</f>
        <v/>
      </c>
      <c r="K113" s="6">
        <f>IF($I113="","",$I113-$J113)</f>
        <v/>
      </c>
      <c r="L113" s="6" t="n"/>
      <c r="M113" s="6">
        <f>IFERROR(VLOOKUP(L113,DM_Giao_vien!$A$3:$H$102,2,FALSE),"")</f>
        <v/>
      </c>
      <c r="N113" s="6">
        <f>IFERROR(VLOOKUP(L113,DM_Giao_vien!$A$3:$H$102,8,FALSE),"")</f>
        <v/>
      </c>
      <c r="O113" s="6" t="n"/>
      <c r="P113" s="6">
        <f>IFERROR(VLOOKUP(O113,DM_Giao_vien!$A$3:$H$102,2,FALSE),"")</f>
        <v/>
      </c>
      <c r="Q113" s="6">
        <f>IFERROR(VLOOKUP(O113,DM_Giao_vien!$A$3:$H$102,8,FALSE),"")</f>
        <v/>
      </c>
      <c r="R113" s="6" t="n"/>
    </row>
    <row r="114">
      <c r="A114" s="5" t="n">
        <v>112</v>
      </c>
      <c r="B114" s="6">
        <f>IF(D114="","",Huong_dan!$B$6)</f>
        <v/>
      </c>
      <c r="C114" s="5" t="n"/>
      <c r="D114" s="5" t="n"/>
      <c r="E114" s="5" t="n"/>
      <c r="F114" s="5" t="n"/>
      <c r="G114" s="5">
        <f>IFERROR(VLOOKUP(F114,DM_Mon_GDPT2018!$A$3:$G$20,2,FALSE),"")</f>
        <v/>
      </c>
      <c r="H114" s="5">
        <f>IFERROR(VLOOKUP(F114,DM_Mon_GDPT2018!$A$3:$G$20,3,FALSE),"")</f>
        <v/>
      </c>
      <c r="I114" s="5">
        <f>IFERROR(VLOOKUP(F114,DM_Mon_GDPT2018!$A$3:$G$20,5,FALSE),"")</f>
        <v/>
      </c>
      <c r="J114" s="6">
        <f>IF($I114="","",ROUND($I114*Huong_dan!$B$7/Huong_dan!$B$9,0))</f>
        <v/>
      </c>
      <c r="K114" s="6">
        <f>IF($I114="","",$I114-$J114)</f>
        <v/>
      </c>
      <c r="L114" s="6" t="n"/>
      <c r="M114" s="6">
        <f>IFERROR(VLOOKUP(L114,DM_Giao_vien!$A$3:$H$102,2,FALSE),"")</f>
        <v/>
      </c>
      <c r="N114" s="6">
        <f>IFERROR(VLOOKUP(L114,DM_Giao_vien!$A$3:$H$102,8,FALSE),"")</f>
        <v/>
      </c>
      <c r="O114" s="6" t="n"/>
      <c r="P114" s="6">
        <f>IFERROR(VLOOKUP(O114,DM_Giao_vien!$A$3:$H$102,2,FALSE),"")</f>
        <v/>
      </c>
      <c r="Q114" s="6">
        <f>IFERROR(VLOOKUP(O114,DM_Giao_vien!$A$3:$H$102,8,FALSE),"")</f>
        <v/>
      </c>
      <c r="R114" s="6" t="n"/>
    </row>
    <row r="115">
      <c r="A115" s="5" t="n">
        <v>113</v>
      </c>
      <c r="B115" s="6">
        <f>IF(D115="","",Huong_dan!$B$6)</f>
        <v/>
      </c>
      <c r="C115" s="5" t="n"/>
      <c r="D115" s="5" t="n"/>
      <c r="E115" s="5" t="n"/>
      <c r="F115" s="5" t="n"/>
      <c r="G115" s="5">
        <f>IFERROR(VLOOKUP(F115,DM_Mon_GDPT2018!$A$3:$G$20,2,FALSE),"")</f>
        <v/>
      </c>
      <c r="H115" s="5">
        <f>IFERROR(VLOOKUP(F115,DM_Mon_GDPT2018!$A$3:$G$20,3,FALSE),"")</f>
        <v/>
      </c>
      <c r="I115" s="5">
        <f>IFERROR(VLOOKUP(F115,DM_Mon_GDPT2018!$A$3:$G$20,5,FALSE),"")</f>
        <v/>
      </c>
      <c r="J115" s="6">
        <f>IF($I115="","",ROUND($I115*Huong_dan!$B$7/Huong_dan!$B$9,0))</f>
        <v/>
      </c>
      <c r="K115" s="6">
        <f>IF($I115="","",$I115-$J115)</f>
        <v/>
      </c>
      <c r="L115" s="6" t="n"/>
      <c r="M115" s="6">
        <f>IFERROR(VLOOKUP(L115,DM_Giao_vien!$A$3:$H$102,2,FALSE),"")</f>
        <v/>
      </c>
      <c r="N115" s="6">
        <f>IFERROR(VLOOKUP(L115,DM_Giao_vien!$A$3:$H$102,8,FALSE),"")</f>
        <v/>
      </c>
      <c r="O115" s="6" t="n"/>
      <c r="P115" s="6">
        <f>IFERROR(VLOOKUP(O115,DM_Giao_vien!$A$3:$H$102,2,FALSE),"")</f>
        <v/>
      </c>
      <c r="Q115" s="6">
        <f>IFERROR(VLOOKUP(O115,DM_Giao_vien!$A$3:$H$102,8,FALSE),"")</f>
        <v/>
      </c>
      <c r="R115" s="6" t="n"/>
    </row>
    <row r="116">
      <c r="A116" s="5" t="n">
        <v>114</v>
      </c>
      <c r="B116" s="6">
        <f>IF(D116="","",Huong_dan!$B$6)</f>
        <v/>
      </c>
      <c r="C116" s="5" t="n"/>
      <c r="D116" s="5" t="n"/>
      <c r="E116" s="5" t="n"/>
      <c r="F116" s="5" t="n"/>
      <c r="G116" s="5">
        <f>IFERROR(VLOOKUP(F116,DM_Mon_GDPT2018!$A$3:$G$20,2,FALSE),"")</f>
        <v/>
      </c>
      <c r="H116" s="5">
        <f>IFERROR(VLOOKUP(F116,DM_Mon_GDPT2018!$A$3:$G$20,3,FALSE),"")</f>
        <v/>
      </c>
      <c r="I116" s="5">
        <f>IFERROR(VLOOKUP(F116,DM_Mon_GDPT2018!$A$3:$G$20,5,FALSE),"")</f>
        <v/>
      </c>
      <c r="J116" s="6">
        <f>IF($I116="","",ROUND($I116*Huong_dan!$B$7/Huong_dan!$B$9,0))</f>
        <v/>
      </c>
      <c r="K116" s="6">
        <f>IF($I116="","",$I116-$J116)</f>
        <v/>
      </c>
      <c r="L116" s="6" t="n"/>
      <c r="M116" s="6">
        <f>IFERROR(VLOOKUP(L116,DM_Giao_vien!$A$3:$H$102,2,FALSE),"")</f>
        <v/>
      </c>
      <c r="N116" s="6">
        <f>IFERROR(VLOOKUP(L116,DM_Giao_vien!$A$3:$H$102,8,FALSE),"")</f>
        <v/>
      </c>
      <c r="O116" s="6" t="n"/>
      <c r="P116" s="6">
        <f>IFERROR(VLOOKUP(O116,DM_Giao_vien!$A$3:$H$102,2,FALSE),"")</f>
        <v/>
      </c>
      <c r="Q116" s="6">
        <f>IFERROR(VLOOKUP(O116,DM_Giao_vien!$A$3:$H$102,8,FALSE),"")</f>
        <v/>
      </c>
      <c r="R116" s="6" t="n"/>
    </row>
    <row r="117">
      <c r="A117" s="5" t="n">
        <v>115</v>
      </c>
      <c r="B117" s="6">
        <f>IF(D117="","",Huong_dan!$B$6)</f>
        <v/>
      </c>
      <c r="C117" s="5" t="n"/>
      <c r="D117" s="5" t="n"/>
      <c r="E117" s="5" t="n"/>
      <c r="F117" s="5" t="n"/>
      <c r="G117" s="5">
        <f>IFERROR(VLOOKUP(F117,DM_Mon_GDPT2018!$A$3:$G$20,2,FALSE),"")</f>
        <v/>
      </c>
      <c r="H117" s="5">
        <f>IFERROR(VLOOKUP(F117,DM_Mon_GDPT2018!$A$3:$G$20,3,FALSE),"")</f>
        <v/>
      </c>
      <c r="I117" s="5">
        <f>IFERROR(VLOOKUP(F117,DM_Mon_GDPT2018!$A$3:$G$20,5,FALSE),"")</f>
        <v/>
      </c>
      <c r="J117" s="6">
        <f>IF($I117="","",ROUND($I117*Huong_dan!$B$7/Huong_dan!$B$9,0))</f>
        <v/>
      </c>
      <c r="K117" s="6">
        <f>IF($I117="","",$I117-$J117)</f>
        <v/>
      </c>
      <c r="L117" s="6" t="n"/>
      <c r="M117" s="6">
        <f>IFERROR(VLOOKUP(L117,DM_Giao_vien!$A$3:$H$102,2,FALSE),"")</f>
        <v/>
      </c>
      <c r="N117" s="6">
        <f>IFERROR(VLOOKUP(L117,DM_Giao_vien!$A$3:$H$102,8,FALSE),"")</f>
        <v/>
      </c>
      <c r="O117" s="6" t="n"/>
      <c r="P117" s="6">
        <f>IFERROR(VLOOKUP(O117,DM_Giao_vien!$A$3:$H$102,2,FALSE),"")</f>
        <v/>
      </c>
      <c r="Q117" s="6">
        <f>IFERROR(VLOOKUP(O117,DM_Giao_vien!$A$3:$H$102,8,FALSE),"")</f>
        <v/>
      </c>
      <c r="R117" s="6" t="n"/>
    </row>
    <row r="118">
      <c r="A118" s="5" t="n">
        <v>116</v>
      </c>
      <c r="B118" s="6">
        <f>IF(D118="","",Huong_dan!$B$6)</f>
        <v/>
      </c>
      <c r="C118" s="5" t="n"/>
      <c r="D118" s="5" t="n"/>
      <c r="E118" s="5" t="n"/>
      <c r="F118" s="5" t="n"/>
      <c r="G118" s="5">
        <f>IFERROR(VLOOKUP(F118,DM_Mon_GDPT2018!$A$3:$G$20,2,FALSE),"")</f>
        <v/>
      </c>
      <c r="H118" s="5">
        <f>IFERROR(VLOOKUP(F118,DM_Mon_GDPT2018!$A$3:$G$20,3,FALSE),"")</f>
        <v/>
      </c>
      <c r="I118" s="5">
        <f>IFERROR(VLOOKUP(F118,DM_Mon_GDPT2018!$A$3:$G$20,5,FALSE),"")</f>
        <v/>
      </c>
      <c r="J118" s="6">
        <f>IF($I118="","",ROUND($I118*Huong_dan!$B$7/Huong_dan!$B$9,0))</f>
        <v/>
      </c>
      <c r="K118" s="6">
        <f>IF($I118="","",$I118-$J118)</f>
        <v/>
      </c>
      <c r="L118" s="6" t="n"/>
      <c r="M118" s="6">
        <f>IFERROR(VLOOKUP(L118,DM_Giao_vien!$A$3:$H$102,2,FALSE),"")</f>
        <v/>
      </c>
      <c r="N118" s="6">
        <f>IFERROR(VLOOKUP(L118,DM_Giao_vien!$A$3:$H$102,8,FALSE),"")</f>
        <v/>
      </c>
      <c r="O118" s="6" t="n"/>
      <c r="P118" s="6">
        <f>IFERROR(VLOOKUP(O118,DM_Giao_vien!$A$3:$H$102,2,FALSE),"")</f>
        <v/>
      </c>
      <c r="Q118" s="6">
        <f>IFERROR(VLOOKUP(O118,DM_Giao_vien!$A$3:$H$102,8,FALSE),"")</f>
        <v/>
      </c>
      <c r="R118" s="6" t="n"/>
    </row>
    <row r="119">
      <c r="A119" s="5" t="n">
        <v>117</v>
      </c>
      <c r="B119" s="6">
        <f>IF(D119="","",Huong_dan!$B$6)</f>
        <v/>
      </c>
      <c r="C119" s="5" t="n"/>
      <c r="D119" s="5" t="n"/>
      <c r="E119" s="5" t="n"/>
      <c r="F119" s="5" t="n"/>
      <c r="G119" s="5">
        <f>IFERROR(VLOOKUP(F119,DM_Mon_GDPT2018!$A$3:$G$20,2,FALSE),"")</f>
        <v/>
      </c>
      <c r="H119" s="5">
        <f>IFERROR(VLOOKUP(F119,DM_Mon_GDPT2018!$A$3:$G$20,3,FALSE),"")</f>
        <v/>
      </c>
      <c r="I119" s="5">
        <f>IFERROR(VLOOKUP(F119,DM_Mon_GDPT2018!$A$3:$G$20,5,FALSE),"")</f>
        <v/>
      </c>
      <c r="J119" s="6">
        <f>IF($I119="","",ROUND($I119*Huong_dan!$B$7/Huong_dan!$B$9,0))</f>
        <v/>
      </c>
      <c r="K119" s="6">
        <f>IF($I119="","",$I119-$J119)</f>
        <v/>
      </c>
      <c r="L119" s="6" t="n"/>
      <c r="M119" s="6">
        <f>IFERROR(VLOOKUP(L119,DM_Giao_vien!$A$3:$H$102,2,FALSE),"")</f>
        <v/>
      </c>
      <c r="N119" s="6">
        <f>IFERROR(VLOOKUP(L119,DM_Giao_vien!$A$3:$H$102,8,FALSE),"")</f>
        <v/>
      </c>
      <c r="O119" s="6" t="n"/>
      <c r="P119" s="6">
        <f>IFERROR(VLOOKUP(O119,DM_Giao_vien!$A$3:$H$102,2,FALSE),"")</f>
        <v/>
      </c>
      <c r="Q119" s="6">
        <f>IFERROR(VLOOKUP(O119,DM_Giao_vien!$A$3:$H$102,8,FALSE),"")</f>
        <v/>
      </c>
      <c r="R119" s="6" t="n"/>
    </row>
    <row r="120">
      <c r="A120" s="5" t="n">
        <v>118</v>
      </c>
      <c r="B120" s="6">
        <f>IF(D120="","",Huong_dan!$B$6)</f>
        <v/>
      </c>
      <c r="C120" s="5" t="n"/>
      <c r="D120" s="5" t="n"/>
      <c r="E120" s="5" t="n"/>
      <c r="F120" s="5" t="n"/>
      <c r="G120" s="5">
        <f>IFERROR(VLOOKUP(F120,DM_Mon_GDPT2018!$A$3:$G$20,2,FALSE),"")</f>
        <v/>
      </c>
      <c r="H120" s="5">
        <f>IFERROR(VLOOKUP(F120,DM_Mon_GDPT2018!$A$3:$G$20,3,FALSE),"")</f>
        <v/>
      </c>
      <c r="I120" s="5">
        <f>IFERROR(VLOOKUP(F120,DM_Mon_GDPT2018!$A$3:$G$20,5,FALSE),"")</f>
        <v/>
      </c>
      <c r="J120" s="6">
        <f>IF($I120="","",ROUND($I120*Huong_dan!$B$7/Huong_dan!$B$9,0))</f>
        <v/>
      </c>
      <c r="K120" s="6">
        <f>IF($I120="","",$I120-$J120)</f>
        <v/>
      </c>
      <c r="L120" s="6" t="n"/>
      <c r="M120" s="6">
        <f>IFERROR(VLOOKUP(L120,DM_Giao_vien!$A$3:$H$102,2,FALSE),"")</f>
        <v/>
      </c>
      <c r="N120" s="6">
        <f>IFERROR(VLOOKUP(L120,DM_Giao_vien!$A$3:$H$102,8,FALSE),"")</f>
        <v/>
      </c>
      <c r="O120" s="6" t="n"/>
      <c r="P120" s="6">
        <f>IFERROR(VLOOKUP(O120,DM_Giao_vien!$A$3:$H$102,2,FALSE),"")</f>
        <v/>
      </c>
      <c r="Q120" s="6">
        <f>IFERROR(VLOOKUP(O120,DM_Giao_vien!$A$3:$H$102,8,FALSE),"")</f>
        <v/>
      </c>
      <c r="R120" s="6" t="n"/>
    </row>
    <row r="121">
      <c r="A121" s="5" t="n">
        <v>119</v>
      </c>
      <c r="B121" s="6">
        <f>IF(D121="","",Huong_dan!$B$6)</f>
        <v/>
      </c>
      <c r="C121" s="5" t="n"/>
      <c r="D121" s="5" t="n"/>
      <c r="E121" s="5" t="n"/>
      <c r="F121" s="5" t="n"/>
      <c r="G121" s="5">
        <f>IFERROR(VLOOKUP(F121,DM_Mon_GDPT2018!$A$3:$G$20,2,FALSE),"")</f>
        <v/>
      </c>
      <c r="H121" s="5">
        <f>IFERROR(VLOOKUP(F121,DM_Mon_GDPT2018!$A$3:$G$20,3,FALSE),"")</f>
        <v/>
      </c>
      <c r="I121" s="5">
        <f>IFERROR(VLOOKUP(F121,DM_Mon_GDPT2018!$A$3:$G$20,5,FALSE),"")</f>
        <v/>
      </c>
      <c r="J121" s="6">
        <f>IF($I121="","",ROUND($I121*Huong_dan!$B$7/Huong_dan!$B$9,0))</f>
        <v/>
      </c>
      <c r="K121" s="6">
        <f>IF($I121="","",$I121-$J121)</f>
        <v/>
      </c>
      <c r="L121" s="6" t="n"/>
      <c r="M121" s="6">
        <f>IFERROR(VLOOKUP(L121,DM_Giao_vien!$A$3:$H$102,2,FALSE),"")</f>
        <v/>
      </c>
      <c r="N121" s="6">
        <f>IFERROR(VLOOKUP(L121,DM_Giao_vien!$A$3:$H$102,8,FALSE),"")</f>
        <v/>
      </c>
      <c r="O121" s="6" t="n"/>
      <c r="P121" s="6">
        <f>IFERROR(VLOOKUP(O121,DM_Giao_vien!$A$3:$H$102,2,FALSE),"")</f>
        <v/>
      </c>
      <c r="Q121" s="6">
        <f>IFERROR(VLOOKUP(O121,DM_Giao_vien!$A$3:$H$102,8,FALSE),"")</f>
        <v/>
      </c>
      <c r="R121" s="6" t="n"/>
    </row>
    <row r="122">
      <c r="A122" s="5" t="n">
        <v>120</v>
      </c>
      <c r="B122" s="6">
        <f>IF(D122="","",Huong_dan!$B$6)</f>
        <v/>
      </c>
      <c r="C122" s="5" t="n"/>
      <c r="D122" s="5" t="n"/>
      <c r="E122" s="5" t="n"/>
      <c r="F122" s="5" t="n"/>
      <c r="G122" s="5">
        <f>IFERROR(VLOOKUP(F122,DM_Mon_GDPT2018!$A$3:$G$20,2,FALSE),"")</f>
        <v/>
      </c>
      <c r="H122" s="5">
        <f>IFERROR(VLOOKUP(F122,DM_Mon_GDPT2018!$A$3:$G$20,3,FALSE),"")</f>
        <v/>
      </c>
      <c r="I122" s="5">
        <f>IFERROR(VLOOKUP(F122,DM_Mon_GDPT2018!$A$3:$G$20,5,FALSE),"")</f>
        <v/>
      </c>
      <c r="J122" s="6">
        <f>IF($I122="","",ROUND($I122*Huong_dan!$B$7/Huong_dan!$B$9,0))</f>
        <v/>
      </c>
      <c r="K122" s="6">
        <f>IF($I122="","",$I122-$J122)</f>
        <v/>
      </c>
      <c r="L122" s="6" t="n"/>
      <c r="M122" s="6">
        <f>IFERROR(VLOOKUP(L122,DM_Giao_vien!$A$3:$H$102,2,FALSE),"")</f>
        <v/>
      </c>
      <c r="N122" s="6">
        <f>IFERROR(VLOOKUP(L122,DM_Giao_vien!$A$3:$H$102,8,FALSE),"")</f>
        <v/>
      </c>
      <c r="O122" s="6" t="n"/>
      <c r="P122" s="6">
        <f>IFERROR(VLOOKUP(O122,DM_Giao_vien!$A$3:$H$102,2,FALSE),"")</f>
        <v/>
      </c>
      <c r="Q122" s="6">
        <f>IFERROR(VLOOKUP(O122,DM_Giao_vien!$A$3:$H$102,8,FALSE),"")</f>
        <v/>
      </c>
      <c r="R122" s="6" t="n"/>
    </row>
    <row r="123">
      <c r="A123" s="5" t="n">
        <v>121</v>
      </c>
      <c r="B123" s="6">
        <f>IF(D123="","",Huong_dan!$B$6)</f>
        <v/>
      </c>
      <c r="C123" s="5" t="n"/>
      <c r="D123" s="5" t="n"/>
      <c r="E123" s="5" t="n"/>
      <c r="F123" s="5" t="n"/>
      <c r="G123" s="5">
        <f>IFERROR(VLOOKUP(F123,DM_Mon_GDPT2018!$A$3:$G$20,2,FALSE),"")</f>
        <v/>
      </c>
      <c r="H123" s="5">
        <f>IFERROR(VLOOKUP(F123,DM_Mon_GDPT2018!$A$3:$G$20,3,FALSE),"")</f>
        <v/>
      </c>
      <c r="I123" s="5">
        <f>IFERROR(VLOOKUP(F123,DM_Mon_GDPT2018!$A$3:$G$20,5,FALSE),"")</f>
        <v/>
      </c>
      <c r="J123" s="6">
        <f>IF($I123="","",ROUND($I123*Huong_dan!$B$7/Huong_dan!$B$9,0))</f>
        <v/>
      </c>
      <c r="K123" s="6">
        <f>IF($I123="","",$I123-$J123)</f>
        <v/>
      </c>
      <c r="L123" s="6" t="n"/>
      <c r="M123" s="6">
        <f>IFERROR(VLOOKUP(L123,DM_Giao_vien!$A$3:$H$102,2,FALSE),"")</f>
        <v/>
      </c>
      <c r="N123" s="6">
        <f>IFERROR(VLOOKUP(L123,DM_Giao_vien!$A$3:$H$102,8,FALSE),"")</f>
        <v/>
      </c>
      <c r="O123" s="6" t="n"/>
      <c r="P123" s="6">
        <f>IFERROR(VLOOKUP(O123,DM_Giao_vien!$A$3:$H$102,2,FALSE),"")</f>
        <v/>
      </c>
      <c r="Q123" s="6">
        <f>IFERROR(VLOOKUP(O123,DM_Giao_vien!$A$3:$H$102,8,FALSE),"")</f>
        <v/>
      </c>
      <c r="R123" s="6" t="n"/>
    </row>
    <row r="124">
      <c r="A124" s="5" t="n">
        <v>122</v>
      </c>
      <c r="B124" s="6">
        <f>IF(D124="","",Huong_dan!$B$6)</f>
        <v/>
      </c>
      <c r="C124" s="5" t="n"/>
      <c r="D124" s="5" t="n"/>
      <c r="E124" s="5" t="n"/>
      <c r="F124" s="5" t="n"/>
      <c r="G124" s="5">
        <f>IFERROR(VLOOKUP(F124,DM_Mon_GDPT2018!$A$3:$G$20,2,FALSE),"")</f>
        <v/>
      </c>
      <c r="H124" s="5">
        <f>IFERROR(VLOOKUP(F124,DM_Mon_GDPT2018!$A$3:$G$20,3,FALSE),"")</f>
        <v/>
      </c>
      <c r="I124" s="5">
        <f>IFERROR(VLOOKUP(F124,DM_Mon_GDPT2018!$A$3:$G$20,5,FALSE),"")</f>
        <v/>
      </c>
      <c r="J124" s="6">
        <f>IF($I124="","",ROUND($I124*Huong_dan!$B$7/Huong_dan!$B$9,0))</f>
        <v/>
      </c>
      <c r="K124" s="6">
        <f>IF($I124="","",$I124-$J124)</f>
        <v/>
      </c>
      <c r="L124" s="6" t="n"/>
      <c r="M124" s="6">
        <f>IFERROR(VLOOKUP(L124,DM_Giao_vien!$A$3:$H$102,2,FALSE),"")</f>
        <v/>
      </c>
      <c r="N124" s="6">
        <f>IFERROR(VLOOKUP(L124,DM_Giao_vien!$A$3:$H$102,8,FALSE),"")</f>
        <v/>
      </c>
      <c r="O124" s="6" t="n"/>
      <c r="P124" s="6">
        <f>IFERROR(VLOOKUP(O124,DM_Giao_vien!$A$3:$H$102,2,FALSE),"")</f>
        <v/>
      </c>
      <c r="Q124" s="6">
        <f>IFERROR(VLOOKUP(O124,DM_Giao_vien!$A$3:$H$102,8,FALSE),"")</f>
        <v/>
      </c>
      <c r="R124" s="6" t="n"/>
    </row>
    <row r="125">
      <c r="A125" s="5" t="n">
        <v>123</v>
      </c>
      <c r="B125" s="6">
        <f>IF(D125="","",Huong_dan!$B$6)</f>
        <v/>
      </c>
      <c r="C125" s="5" t="n"/>
      <c r="D125" s="5" t="n"/>
      <c r="E125" s="5" t="n"/>
      <c r="F125" s="5" t="n"/>
      <c r="G125" s="5">
        <f>IFERROR(VLOOKUP(F125,DM_Mon_GDPT2018!$A$3:$G$20,2,FALSE),"")</f>
        <v/>
      </c>
      <c r="H125" s="5">
        <f>IFERROR(VLOOKUP(F125,DM_Mon_GDPT2018!$A$3:$G$20,3,FALSE),"")</f>
        <v/>
      </c>
      <c r="I125" s="5">
        <f>IFERROR(VLOOKUP(F125,DM_Mon_GDPT2018!$A$3:$G$20,5,FALSE),"")</f>
        <v/>
      </c>
      <c r="J125" s="6">
        <f>IF($I125="","",ROUND($I125*Huong_dan!$B$7/Huong_dan!$B$9,0))</f>
        <v/>
      </c>
      <c r="K125" s="6">
        <f>IF($I125="","",$I125-$J125)</f>
        <v/>
      </c>
      <c r="L125" s="6" t="n"/>
      <c r="M125" s="6">
        <f>IFERROR(VLOOKUP(L125,DM_Giao_vien!$A$3:$H$102,2,FALSE),"")</f>
        <v/>
      </c>
      <c r="N125" s="6">
        <f>IFERROR(VLOOKUP(L125,DM_Giao_vien!$A$3:$H$102,8,FALSE),"")</f>
        <v/>
      </c>
      <c r="O125" s="6" t="n"/>
      <c r="P125" s="6">
        <f>IFERROR(VLOOKUP(O125,DM_Giao_vien!$A$3:$H$102,2,FALSE),"")</f>
        <v/>
      </c>
      <c r="Q125" s="6">
        <f>IFERROR(VLOOKUP(O125,DM_Giao_vien!$A$3:$H$102,8,FALSE),"")</f>
        <v/>
      </c>
      <c r="R125" s="6" t="n"/>
    </row>
    <row r="126">
      <c r="A126" s="5" t="n">
        <v>124</v>
      </c>
      <c r="B126" s="6">
        <f>IF(D126="","",Huong_dan!$B$6)</f>
        <v/>
      </c>
      <c r="C126" s="5" t="n"/>
      <c r="D126" s="5" t="n"/>
      <c r="E126" s="5" t="n"/>
      <c r="F126" s="5" t="n"/>
      <c r="G126" s="5">
        <f>IFERROR(VLOOKUP(F126,DM_Mon_GDPT2018!$A$3:$G$20,2,FALSE),"")</f>
        <v/>
      </c>
      <c r="H126" s="5">
        <f>IFERROR(VLOOKUP(F126,DM_Mon_GDPT2018!$A$3:$G$20,3,FALSE),"")</f>
        <v/>
      </c>
      <c r="I126" s="5">
        <f>IFERROR(VLOOKUP(F126,DM_Mon_GDPT2018!$A$3:$G$20,5,FALSE),"")</f>
        <v/>
      </c>
      <c r="J126" s="6">
        <f>IF($I126="","",ROUND($I126*Huong_dan!$B$7/Huong_dan!$B$9,0))</f>
        <v/>
      </c>
      <c r="K126" s="6">
        <f>IF($I126="","",$I126-$J126)</f>
        <v/>
      </c>
      <c r="L126" s="6" t="n"/>
      <c r="M126" s="6">
        <f>IFERROR(VLOOKUP(L126,DM_Giao_vien!$A$3:$H$102,2,FALSE),"")</f>
        <v/>
      </c>
      <c r="N126" s="6">
        <f>IFERROR(VLOOKUP(L126,DM_Giao_vien!$A$3:$H$102,8,FALSE),"")</f>
        <v/>
      </c>
      <c r="O126" s="6" t="n"/>
      <c r="P126" s="6">
        <f>IFERROR(VLOOKUP(O126,DM_Giao_vien!$A$3:$H$102,2,FALSE),"")</f>
        <v/>
      </c>
      <c r="Q126" s="6">
        <f>IFERROR(VLOOKUP(O126,DM_Giao_vien!$A$3:$H$102,8,FALSE),"")</f>
        <v/>
      </c>
      <c r="R126" s="6" t="n"/>
    </row>
    <row r="127">
      <c r="A127" s="5" t="n">
        <v>125</v>
      </c>
      <c r="B127" s="6">
        <f>IF(D127="","",Huong_dan!$B$6)</f>
        <v/>
      </c>
      <c r="C127" s="5" t="n"/>
      <c r="D127" s="5" t="n"/>
      <c r="E127" s="5" t="n"/>
      <c r="F127" s="5" t="n"/>
      <c r="G127" s="5">
        <f>IFERROR(VLOOKUP(F127,DM_Mon_GDPT2018!$A$3:$G$20,2,FALSE),"")</f>
        <v/>
      </c>
      <c r="H127" s="5">
        <f>IFERROR(VLOOKUP(F127,DM_Mon_GDPT2018!$A$3:$G$20,3,FALSE),"")</f>
        <v/>
      </c>
      <c r="I127" s="5">
        <f>IFERROR(VLOOKUP(F127,DM_Mon_GDPT2018!$A$3:$G$20,5,FALSE),"")</f>
        <v/>
      </c>
      <c r="J127" s="6">
        <f>IF($I127="","",ROUND($I127*Huong_dan!$B$7/Huong_dan!$B$9,0))</f>
        <v/>
      </c>
      <c r="K127" s="6">
        <f>IF($I127="","",$I127-$J127)</f>
        <v/>
      </c>
      <c r="L127" s="6" t="n"/>
      <c r="M127" s="6">
        <f>IFERROR(VLOOKUP(L127,DM_Giao_vien!$A$3:$H$102,2,FALSE),"")</f>
        <v/>
      </c>
      <c r="N127" s="6">
        <f>IFERROR(VLOOKUP(L127,DM_Giao_vien!$A$3:$H$102,8,FALSE),"")</f>
        <v/>
      </c>
      <c r="O127" s="6" t="n"/>
      <c r="P127" s="6">
        <f>IFERROR(VLOOKUP(O127,DM_Giao_vien!$A$3:$H$102,2,FALSE),"")</f>
        <v/>
      </c>
      <c r="Q127" s="6">
        <f>IFERROR(VLOOKUP(O127,DM_Giao_vien!$A$3:$H$102,8,FALSE),"")</f>
        <v/>
      </c>
      <c r="R127" s="6" t="n"/>
    </row>
    <row r="128">
      <c r="A128" s="5" t="n">
        <v>126</v>
      </c>
      <c r="B128" s="6">
        <f>IF(D128="","",Huong_dan!$B$6)</f>
        <v/>
      </c>
      <c r="C128" s="5" t="n"/>
      <c r="D128" s="5" t="n"/>
      <c r="E128" s="5" t="n"/>
      <c r="F128" s="5" t="n"/>
      <c r="G128" s="5">
        <f>IFERROR(VLOOKUP(F128,DM_Mon_GDPT2018!$A$3:$G$20,2,FALSE),"")</f>
        <v/>
      </c>
      <c r="H128" s="5">
        <f>IFERROR(VLOOKUP(F128,DM_Mon_GDPT2018!$A$3:$G$20,3,FALSE),"")</f>
        <v/>
      </c>
      <c r="I128" s="5">
        <f>IFERROR(VLOOKUP(F128,DM_Mon_GDPT2018!$A$3:$G$20,5,FALSE),"")</f>
        <v/>
      </c>
      <c r="J128" s="6">
        <f>IF($I128="","",ROUND($I128*Huong_dan!$B$7/Huong_dan!$B$9,0))</f>
        <v/>
      </c>
      <c r="K128" s="6">
        <f>IF($I128="","",$I128-$J128)</f>
        <v/>
      </c>
      <c r="L128" s="6" t="n"/>
      <c r="M128" s="6">
        <f>IFERROR(VLOOKUP(L128,DM_Giao_vien!$A$3:$H$102,2,FALSE),"")</f>
        <v/>
      </c>
      <c r="N128" s="6">
        <f>IFERROR(VLOOKUP(L128,DM_Giao_vien!$A$3:$H$102,8,FALSE),"")</f>
        <v/>
      </c>
      <c r="O128" s="6" t="n"/>
      <c r="P128" s="6">
        <f>IFERROR(VLOOKUP(O128,DM_Giao_vien!$A$3:$H$102,2,FALSE),"")</f>
        <v/>
      </c>
      <c r="Q128" s="6">
        <f>IFERROR(VLOOKUP(O128,DM_Giao_vien!$A$3:$H$102,8,FALSE),"")</f>
        <v/>
      </c>
      <c r="R128" s="6" t="n"/>
    </row>
    <row r="129">
      <c r="A129" s="5" t="n">
        <v>127</v>
      </c>
      <c r="B129" s="6">
        <f>IF(D129="","",Huong_dan!$B$6)</f>
        <v/>
      </c>
      <c r="C129" s="5" t="n"/>
      <c r="D129" s="5" t="n"/>
      <c r="E129" s="5" t="n"/>
      <c r="F129" s="5" t="n"/>
      <c r="G129" s="5">
        <f>IFERROR(VLOOKUP(F129,DM_Mon_GDPT2018!$A$3:$G$20,2,FALSE),"")</f>
        <v/>
      </c>
      <c r="H129" s="5">
        <f>IFERROR(VLOOKUP(F129,DM_Mon_GDPT2018!$A$3:$G$20,3,FALSE),"")</f>
        <v/>
      </c>
      <c r="I129" s="5">
        <f>IFERROR(VLOOKUP(F129,DM_Mon_GDPT2018!$A$3:$G$20,5,FALSE),"")</f>
        <v/>
      </c>
      <c r="J129" s="6">
        <f>IF($I129="","",ROUND($I129*Huong_dan!$B$7/Huong_dan!$B$9,0))</f>
        <v/>
      </c>
      <c r="K129" s="6">
        <f>IF($I129="","",$I129-$J129)</f>
        <v/>
      </c>
      <c r="L129" s="6" t="n"/>
      <c r="M129" s="6">
        <f>IFERROR(VLOOKUP(L129,DM_Giao_vien!$A$3:$H$102,2,FALSE),"")</f>
        <v/>
      </c>
      <c r="N129" s="6">
        <f>IFERROR(VLOOKUP(L129,DM_Giao_vien!$A$3:$H$102,8,FALSE),"")</f>
        <v/>
      </c>
      <c r="O129" s="6" t="n"/>
      <c r="P129" s="6">
        <f>IFERROR(VLOOKUP(O129,DM_Giao_vien!$A$3:$H$102,2,FALSE),"")</f>
        <v/>
      </c>
      <c r="Q129" s="6">
        <f>IFERROR(VLOOKUP(O129,DM_Giao_vien!$A$3:$H$102,8,FALSE),"")</f>
        <v/>
      </c>
      <c r="R129" s="6" t="n"/>
    </row>
    <row r="130">
      <c r="A130" s="5" t="n">
        <v>128</v>
      </c>
      <c r="B130" s="6">
        <f>IF(D130="","",Huong_dan!$B$6)</f>
        <v/>
      </c>
      <c r="C130" s="5" t="n"/>
      <c r="D130" s="5" t="n"/>
      <c r="E130" s="5" t="n"/>
      <c r="F130" s="5" t="n"/>
      <c r="G130" s="5">
        <f>IFERROR(VLOOKUP(F130,DM_Mon_GDPT2018!$A$3:$G$20,2,FALSE),"")</f>
        <v/>
      </c>
      <c r="H130" s="5">
        <f>IFERROR(VLOOKUP(F130,DM_Mon_GDPT2018!$A$3:$G$20,3,FALSE),"")</f>
        <v/>
      </c>
      <c r="I130" s="5">
        <f>IFERROR(VLOOKUP(F130,DM_Mon_GDPT2018!$A$3:$G$20,5,FALSE),"")</f>
        <v/>
      </c>
      <c r="J130" s="6">
        <f>IF($I130="","",ROUND($I130*Huong_dan!$B$7/Huong_dan!$B$9,0))</f>
        <v/>
      </c>
      <c r="K130" s="6">
        <f>IF($I130="","",$I130-$J130)</f>
        <v/>
      </c>
      <c r="L130" s="6" t="n"/>
      <c r="M130" s="6">
        <f>IFERROR(VLOOKUP(L130,DM_Giao_vien!$A$3:$H$102,2,FALSE),"")</f>
        <v/>
      </c>
      <c r="N130" s="6">
        <f>IFERROR(VLOOKUP(L130,DM_Giao_vien!$A$3:$H$102,8,FALSE),"")</f>
        <v/>
      </c>
      <c r="O130" s="6" t="n"/>
      <c r="P130" s="6">
        <f>IFERROR(VLOOKUP(O130,DM_Giao_vien!$A$3:$H$102,2,FALSE),"")</f>
        <v/>
      </c>
      <c r="Q130" s="6">
        <f>IFERROR(VLOOKUP(O130,DM_Giao_vien!$A$3:$H$102,8,FALSE),"")</f>
        <v/>
      </c>
      <c r="R130" s="6" t="n"/>
    </row>
    <row r="131">
      <c r="A131" s="5" t="n">
        <v>129</v>
      </c>
      <c r="B131" s="6">
        <f>IF(D131="","",Huong_dan!$B$6)</f>
        <v/>
      </c>
      <c r="C131" s="5" t="n"/>
      <c r="D131" s="5" t="n"/>
      <c r="E131" s="5" t="n"/>
      <c r="F131" s="5" t="n"/>
      <c r="G131" s="5">
        <f>IFERROR(VLOOKUP(F131,DM_Mon_GDPT2018!$A$3:$G$20,2,FALSE),"")</f>
        <v/>
      </c>
      <c r="H131" s="5">
        <f>IFERROR(VLOOKUP(F131,DM_Mon_GDPT2018!$A$3:$G$20,3,FALSE),"")</f>
        <v/>
      </c>
      <c r="I131" s="5">
        <f>IFERROR(VLOOKUP(F131,DM_Mon_GDPT2018!$A$3:$G$20,5,FALSE),"")</f>
        <v/>
      </c>
      <c r="J131" s="6">
        <f>IF($I131="","",ROUND($I131*Huong_dan!$B$7/Huong_dan!$B$9,0))</f>
        <v/>
      </c>
      <c r="K131" s="6">
        <f>IF($I131="","",$I131-$J131)</f>
        <v/>
      </c>
      <c r="L131" s="6" t="n"/>
      <c r="M131" s="6">
        <f>IFERROR(VLOOKUP(L131,DM_Giao_vien!$A$3:$H$102,2,FALSE),"")</f>
        <v/>
      </c>
      <c r="N131" s="6">
        <f>IFERROR(VLOOKUP(L131,DM_Giao_vien!$A$3:$H$102,8,FALSE),"")</f>
        <v/>
      </c>
      <c r="O131" s="6" t="n"/>
      <c r="P131" s="6">
        <f>IFERROR(VLOOKUP(O131,DM_Giao_vien!$A$3:$H$102,2,FALSE),"")</f>
        <v/>
      </c>
      <c r="Q131" s="6">
        <f>IFERROR(VLOOKUP(O131,DM_Giao_vien!$A$3:$H$102,8,FALSE),"")</f>
        <v/>
      </c>
      <c r="R131" s="6" t="n"/>
    </row>
    <row r="132">
      <c r="A132" s="5" t="n">
        <v>130</v>
      </c>
      <c r="B132" s="6">
        <f>IF(D132="","",Huong_dan!$B$6)</f>
        <v/>
      </c>
      <c r="C132" s="5" t="n"/>
      <c r="D132" s="5" t="n"/>
      <c r="E132" s="5" t="n"/>
      <c r="F132" s="5" t="n"/>
      <c r="G132" s="5">
        <f>IFERROR(VLOOKUP(F132,DM_Mon_GDPT2018!$A$3:$G$20,2,FALSE),"")</f>
        <v/>
      </c>
      <c r="H132" s="5">
        <f>IFERROR(VLOOKUP(F132,DM_Mon_GDPT2018!$A$3:$G$20,3,FALSE),"")</f>
        <v/>
      </c>
      <c r="I132" s="5">
        <f>IFERROR(VLOOKUP(F132,DM_Mon_GDPT2018!$A$3:$G$20,5,FALSE),"")</f>
        <v/>
      </c>
      <c r="J132" s="6">
        <f>IF($I132="","",ROUND($I132*Huong_dan!$B$7/Huong_dan!$B$9,0))</f>
        <v/>
      </c>
      <c r="K132" s="6">
        <f>IF($I132="","",$I132-$J132)</f>
        <v/>
      </c>
      <c r="L132" s="6" t="n"/>
      <c r="M132" s="6">
        <f>IFERROR(VLOOKUP(L132,DM_Giao_vien!$A$3:$H$102,2,FALSE),"")</f>
        <v/>
      </c>
      <c r="N132" s="6">
        <f>IFERROR(VLOOKUP(L132,DM_Giao_vien!$A$3:$H$102,8,FALSE),"")</f>
        <v/>
      </c>
      <c r="O132" s="6" t="n"/>
      <c r="P132" s="6">
        <f>IFERROR(VLOOKUP(O132,DM_Giao_vien!$A$3:$H$102,2,FALSE),"")</f>
        <v/>
      </c>
      <c r="Q132" s="6">
        <f>IFERROR(VLOOKUP(O132,DM_Giao_vien!$A$3:$H$102,8,FALSE),"")</f>
        <v/>
      </c>
      <c r="R132" s="6" t="n"/>
    </row>
    <row r="133">
      <c r="A133" s="5" t="n">
        <v>131</v>
      </c>
      <c r="B133" s="6">
        <f>IF(D133="","",Huong_dan!$B$6)</f>
        <v/>
      </c>
      <c r="C133" s="5" t="n"/>
      <c r="D133" s="5" t="n"/>
      <c r="E133" s="5" t="n"/>
      <c r="F133" s="5" t="n"/>
      <c r="G133" s="5">
        <f>IFERROR(VLOOKUP(F133,DM_Mon_GDPT2018!$A$3:$G$20,2,FALSE),"")</f>
        <v/>
      </c>
      <c r="H133" s="5">
        <f>IFERROR(VLOOKUP(F133,DM_Mon_GDPT2018!$A$3:$G$20,3,FALSE),"")</f>
        <v/>
      </c>
      <c r="I133" s="5">
        <f>IFERROR(VLOOKUP(F133,DM_Mon_GDPT2018!$A$3:$G$20,5,FALSE),"")</f>
        <v/>
      </c>
      <c r="J133" s="6">
        <f>IF($I133="","",ROUND($I133*Huong_dan!$B$7/Huong_dan!$B$9,0))</f>
        <v/>
      </c>
      <c r="K133" s="6">
        <f>IF($I133="","",$I133-$J133)</f>
        <v/>
      </c>
      <c r="L133" s="6" t="n"/>
      <c r="M133" s="6">
        <f>IFERROR(VLOOKUP(L133,DM_Giao_vien!$A$3:$H$102,2,FALSE),"")</f>
        <v/>
      </c>
      <c r="N133" s="6">
        <f>IFERROR(VLOOKUP(L133,DM_Giao_vien!$A$3:$H$102,8,FALSE),"")</f>
        <v/>
      </c>
      <c r="O133" s="6" t="n"/>
      <c r="P133" s="6">
        <f>IFERROR(VLOOKUP(O133,DM_Giao_vien!$A$3:$H$102,2,FALSE),"")</f>
        <v/>
      </c>
      <c r="Q133" s="6">
        <f>IFERROR(VLOOKUP(O133,DM_Giao_vien!$A$3:$H$102,8,FALSE),"")</f>
        <v/>
      </c>
      <c r="R133" s="6" t="n"/>
    </row>
    <row r="134">
      <c r="A134" s="5" t="n">
        <v>132</v>
      </c>
      <c r="B134" s="6">
        <f>IF(D134="","",Huong_dan!$B$6)</f>
        <v/>
      </c>
      <c r="C134" s="5" t="n"/>
      <c r="D134" s="5" t="n"/>
      <c r="E134" s="5" t="n"/>
      <c r="F134" s="5" t="n"/>
      <c r="G134" s="5">
        <f>IFERROR(VLOOKUP(F134,DM_Mon_GDPT2018!$A$3:$G$20,2,FALSE),"")</f>
        <v/>
      </c>
      <c r="H134" s="5">
        <f>IFERROR(VLOOKUP(F134,DM_Mon_GDPT2018!$A$3:$G$20,3,FALSE),"")</f>
        <v/>
      </c>
      <c r="I134" s="5">
        <f>IFERROR(VLOOKUP(F134,DM_Mon_GDPT2018!$A$3:$G$20,5,FALSE),"")</f>
        <v/>
      </c>
      <c r="J134" s="6">
        <f>IF($I134="","",ROUND($I134*Huong_dan!$B$7/Huong_dan!$B$9,0))</f>
        <v/>
      </c>
      <c r="K134" s="6">
        <f>IF($I134="","",$I134-$J134)</f>
        <v/>
      </c>
      <c r="L134" s="6" t="n"/>
      <c r="M134" s="6">
        <f>IFERROR(VLOOKUP(L134,DM_Giao_vien!$A$3:$H$102,2,FALSE),"")</f>
        <v/>
      </c>
      <c r="N134" s="6">
        <f>IFERROR(VLOOKUP(L134,DM_Giao_vien!$A$3:$H$102,8,FALSE),"")</f>
        <v/>
      </c>
      <c r="O134" s="6" t="n"/>
      <c r="P134" s="6">
        <f>IFERROR(VLOOKUP(O134,DM_Giao_vien!$A$3:$H$102,2,FALSE),"")</f>
        <v/>
      </c>
      <c r="Q134" s="6">
        <f>IFERROR(VLOOKUP(O134,DM_Giao_vien!$A$3:$H$102,8,FALSE),"")</f>
        <v/>
      </c>
      <c r="R134" s="6" t="n"/>
    </row>
    <row r="135">
      <c r="A135" s="5" t="n">
        <v>133</v>
      </c>
      <c r="B135" s="6">
        <f>IF(D135="","",Huong_dan!$B$6)</f>
        <v/>
      </c>
      <c r="C135" s="5" t="n"/>
      <c r="D135" s="5" t="n"/>
      <c r="E135" s="5" t="n"/>
      <c r="F135" s="5" t="n"/>
      <c r="G135" s="5">
        <f>IFERROR(VLOOKUP(F135,DM_Mon_GDPT2018!$A$3:$G$20,2,FALSE),"")</f>
        <v/>
      </c>
      <c r="H135" s="5">
        <f>IFERROR(VLOOKUP(F135,DM_Mon_GDPT2018!$A$3:$G$20,3,FALSE),"")</f>
        <v/>
      </c>
      <c r="I135" s="5">
        <f>IFERROR(VLOOKUP(F135,DM_Mon_GDPT2018!$A$3:$G$20,5,FALSE),"")</f>
        <v/>
      </c>
      <c r="J135" s="6">
        <f>IF($I135="","",ROUND($I135*Huong_dan!$B$7/Huong_dan!$B$9,0))</f>
        <v/>
      </c>
      <c r="K135" s="6">
        <f>IF($I135="","",$I135-$J135)</f>
        <v/>
      </c>
      <c r="L135" s="6" t="n"/>
      <c r="M135" s="6">
        <f>IFERROR(VLOOKUP(L135,DM_Giao_vien!$A$3:$H$102,2,FALSE),"")</f>
        <v/>
      </c>
      <c r="N135" s="6">
        <f>IFERROR(VLOOKUP(L135,DM_Giao_vien!$A$3:$H$102,8,FALSE),"")</f>
        <v/>
      </c>
      <c r="O135" s="6" t="n"/>
      <c r="P135" s="6">
        <f>IFERROR(VLOOKUP(O135,DM_Giao_vien!$A$3:$H$102,2,FALSE),"")</f>
        <v/>
      </c>
      <c r="Q135" s="6">
        <f>IFERROR(VLOOKUP(O135,DM_Giao_vien!$A$3:$H$102,8,FALSE),"")</f>
        <v/>
      </c>
      <c r="R135" s="6" t="n"/>
    </row>
    <row r="136">
      <c r="A136" s="5" t="n">
        <v>134</v>
      </c>
      <c r="B136" s="6">
        <f>IF(D136="","",Huong_dan!$B$6)</f>
        <v/>
      </c>
      <c r="C136" s="5" t="n"/>
      <c r="D136" s="5" t="n"/>
      <c r="E136" s="5" t="n"/>
      <c r="F136" s="5" t="n"/>
      <c r="G136" s="5">
        <f>IFERROR(VLOOKUP(F136,DM_Mon_GDPT2018!$A$3:$G$20,2,FALSE),"")</f>
        <v/>
      </c>
      <c r="H136" s="5">
        <f>IFERROR(VLOOKUP(F136,DM_Mon_GDPT2018!$A$3:$G$20,3,FALSE),"")</f>
        <v/>
      </c>
      <c r="I136" s="5">
        <f>IFERROR(VLOOKUP(F136,DM_Mon_GDPT2018!$A$3:$G$20,5,FALSE),"")</f>
        <v/>
      </c>
      <c r="J136" s="6">
        <f>IF($I136="","",ROUND($I136*Huong_dan!$B$7/Huong_dan!$B$9,0))</f>
        <v/>
      </c>
      <c r="K136" s="6">
        <f>IF($I136="","",$I136-$J136)</f>
        <v/>
      </c>
      <c r="L136" s="6" t="n"/>
      <c r="M136" s="6">
        <f>IFERROR(VLOOKUP(L136,DM_Giao_vien!$A$3:$H$102,2,FALSE),"")</f>
        <v/>
      </c>
      <c r="N136" s="6">
        <f>IFERROR(VLOOKUP(L136,DM_Giao_vien!$A$3:$H$102,8,FALSE),"")</f>
        <v/>
      </c>
      <c r="O136" s="6" t="n"/>
      <c r="P136" s="6">
        <f>IFERROR(VLOOKUP(O136,DM_Giao_vien!$A$3:$H$102,2,FALSE),"")</f>
        <v/>
      </c>
      <c r="Q136" s="6">
        <f>IFERROR(VLOOKUP(O136,DM_Giao_vien!$A$3:$H$102,8,FALSE),"")</f>
        <v/>
      </c>
      <c r="R136" s="6" t="n"/>
    </row>
    <row r="137">
      <c r="A137" s="5" t="n">
        <v>135</v>
      </c>
      <c r="B137" s="6">
        <f>IF(D137="","",Huong_dan!$B$6)</f>
        <v/>
      </c>
      <c r="C137" s="5" t="n"/>
      <c r="D137" s="5" t="n"/>
      <c r="E137" s="5" t="n"/>
      <c r="F137" s="5" t="n"/>
      <c r="G137" s="5">
        <f>IFERROR(VLOOKUP(F137,DM_Mon_GDPT2018!$A$3:$G$20,2,FALSE),"")</f>
        <v/>
      </c>
      <c r="H137" s="5">
        <f>IFERROR(VLOOKUP(F137,DM_Mon_GDPT2018!$A$3:$G$20,3,FALSE),"")</f>
        <v/>
      </c>
      <c r="I137" s="5">
        <f>IFERROR(VLOOKUP(F137,DM_Mon_GDPT2018!$A$3:$G$20,5,FALSE),"")</f>
        <v/>
      </c>
      <c r="J137" s="6">
        <f>IF($I137="","",ROUND($I137*Huong_dan!$B$7/Huong_dan!$B$9,0))</f>
        <v/>
      </c>
      <c r="K137" s="6">
        <f>IF($I137="","",$I137-$J137)</f>
        <v/>
      </c>
      <c r="L137" s="6" t="n"/>
      <c r="M137" s="6">
        <f>IFERROR(VLOOKUP(L137,DM_Giao_vien!$A$3:$H$102,2,FALSE),"")</f>
        <v/>
      </c>
      <c r="N137" s="6">
        <f>IFERROR(VLOOKUP(L137,DM_Giao_vien!$A$3:$H$102,8,FALSE),"")</f>
        <v/>
      </c>
      <c r="O137" s="6" t="n"/>
      <c r="P137" s="6">
        <f>IFERROR(VLOOKUP(O137,DM_Giao_vien!$A$3:$H$102,2,FALSE),"")</f>
        <v/>
      </c>
      <c r="Q137" s="6">
        <f>IFERROR(VLOOKUP(O137,DM_Giao_vien!$A$3:$H$102,8,FALSE),"")</f>
        <v/>
      </c>
      <c r="R137" s="6" t="n"/>
    </row>
    <row r="138">
      <c r="A138" s="5" t="n">
        <v>136</v>
      </c>
      <c r="B138" s="6">
        <f>IF(D138="","",Huong_dan!$B$6)</f>
        <v/>
      </c>
      <c r="C138" s="5" t="n"/>
      <c r="D138" s="5" t="n"/>
      <c r="E138" s="5" t="n"/>
      <c r="F138" s="5" t="n"/>
      <c r="G138" s="5">
        <f>IFERROR(VLOOKUP(F138,DM_Mon_GDPT2018!$A$3:$G$20,2,FALSE),"")</f>
        <v/>
      </c>
      <c r="H138" s="5">
        <f>IFERROR(VLOOKUP(F138,DM_Mon_GDPT2018!$A$3:$G$20,3,FALSE),"")</f>
        <v/>
      </c>
      <c r="I138" s="5">
        <f>IFERROR(VLOOKUP(F138,DM_Mon_GDPT2018!$A$3:$G$20,5,FALSE),"")</f>
        <v/>
      </c>
      <c r="J138" s="6">
        <f>IF($I138="","",ROUND($I138*Huong_dan!$B$7/Huong_dan!$B$9,0))</f>
        <v/>
      </c>
      <c r="K138" s="6">
        <f>IF($I138="","",$I138-$J138)</f>
        <v/>
      </c>
      <c r="L138" s="6" t="n"/>
      <c r="M138" s="6">
        <f>IFERROR(VLOOKUP(L138,DM_Giao_vien!$A$3:$H$102,2,FALSE),"")</f>
        <v/>
      </c>
      <c r="N138" s="6">
        <f>IFERROR(VLOOKUP(L138,DM_Giao_vien!$A$3:$H$102,8,FALSE),"")</f>
        <v/>
      </c>
      <c r="O138" s="6" t="n"/>
      <c r="P138" s="6">
        <f>IFERROR(VLOOKUP(O138,DM_Giao_vien!$A$3:$H$102,2,FALSE),"")</f>
        <v/>
      </c>
      <c r="Q138" s="6">
        <f>IFERROR(VLOOKUP(O138,DM_Giao_vien!$A$3:$H$102,8,FALSE),"")</f>
        <v/>
      </c>
      <c r="R138" s="6" t="n"/>
    </row>
    <row r="139">
      <c r="A139" s="5" t="n">
        <v>137</v>
      </c>
      <c r="B139" s="6">
        <f>IF(D139="","",Huong_dan!$B$6)</f>
        <v/>
      </c>
      <c r="C139" s="5" t="n"/>
      <c r="D139" s="5" t="n"/>
      <c r="E139" s="5" t="n"/>
      <c r="F139" s="5" t="n"/>
      <c r="G139" s="5">
        <f>IFERROR(VLOOKUP(F139,DM_Mon_GDPT2018!$A$3:$G$20,2,FALSE),"")</f>
        <v/>
      </c>
      <c r="H139" s="5">
        <f>IFERROR(VLOOKUP(F139,DM_Mon_GDPT2018!$A$3:$G$20,3,FALSE),"")</f>
        <v/>
      </c>
      <c r="I139" s="5">
        <f>IFERROR(VLOOKUP(F139,DM_Mon_GDPT2018!$A$3:$G$20,5,FALSE),"")</f>
        <v/>
      </c>
      <c r="J139" s="6">
        <f>IF($I139="","",ROUND($I139*Huong_dan!$B$7/Huong_dan!$B$9,0))</f>
        <v/>
      </c>
      <c r="K139" s="6">
        <f>IF($I139="","",$I139-$J139)</f>
        <v/>
      </c>
      <c r="L139" s="6" t="n"/>
      <c r="M139" s="6">
        <f>IFERROR(VLOOKUP(L139,DM_Giao_vien!$A$3:$H$102,2,FALSE),"")</f>
        <v/>
      </c>
      <c r="N139" s="6">
        <f>IFERROR(VLOOKUP(L139,DM_Giao_vien!$A$3:$H$102,8,FALSE),"")</f>
        <v/>
      </c>
      <c r="O139" s="6" t="n"/>
      <c r="P139" s="6">
        <f>IFERROR(VLOOKUP(O139,DM_Giao_vien!$A$3:$H$102,2,FALSE),"")</f>
        <v/>
      </c>
      <c r="Q139" s="6">
        <f>IFERROR(VLOOKUP(O139,DM_Giao_vien!$A$3:$H$102,8,FALSE),"")</f>
        <v/>
      </c>
      <c r="R139" s="6" t="n"/>
    </row>
    <row r="140">
      <c r="A140" s="5" t="n">
        <v>138</v>
      </c>
      <c r="B140" s="6">
        <f>IF(D140="","",Huong_dan!$B$6)</f>
        <v/>
      </c>
      <c r="C140" s="5" t="n"/>
      <c r="D140" s="5" t="n"/>
      <c r="E140" s="5" t="n"/>
      <c r="F140" s="5" t="n"/>
      <c r="G140" s="5">
        <f>IFERROR(VLOOKUP(F140,DM_Mon_GDPT2018!$A$3:$G$20,2,FALSE),"")</f>
        <v/>
      </c>
      <c r="H140" s="5">
        <f>IFERROR(VLOOKUP(F140,DM_Mon_GDPT2018!$A$3:$G$20,3,FALSE),"")</f>
        <v/>
      </c>
      <c r="I140" s="5">
        <f>IFERROR(VLOOKUP(F140,DM_Mon_GDPT2018!$A$3:$G$20,5,FALSE),"")</f>
        <v/>
      </c>
      <c r="J140" s="6">
        <f>IF($I140="","",ROUND($I140*Huong_dan!$B$7/Huong_dan!$B$9,0))</f>
        <v/>
      </c>
      <c r="K140" s="6">
        <f>IF($I140="","",$I140-$J140)</f>
        <v/>
      </c>
      <c r="L140" s="6" t="n"/>
      <c r="M140" s="6">
        <f>IFERROR(VLOOKUP(L140,DM_Giao_vien!$A$3:$H$102,2,FALSE),"")</f>
        <v/>
      </c>
      <c r="N140" s="6">
        <f>IFERROR(VLOOKUP(L140,DM_Giao_vien!$A$3:$H$102,8,FALSE),"")</f>
        <v/>
      </c>
      <c r="O140" s="6" t="n"/>
      <c r="P140" s="6">
        <f>IFERROR(VLOOKUP(O140,DM_Giao_vien!$A$3:$H$102,2,FALSE),"")</f>
        <v/>
      </c>
      <c r="Q140" s="6">
        <f>IFERROR(VLOOKUP(O140,DM_Giao_vien!$A$3:$H$102,8,FALSE),"")</f>
        <v/>
      </c>
      <c r="R140" s="6" t="n"/>
    </row>
    <row r="141">
      <c r="A141" s="5" t="n">
        <v>139</v>
      </c>
      <c r="B141" s="6">
        <f>IF(D141="","",Huong_dan!$B$6)</f>
        <v/>
      </c>
      <c r="C141" s="5" t="n"/>
      <c r="D141" s="5" t="n"/>
      <c r="E141" s="5" t="n"/>
      <c r="F141" s="5" t="n"/>
      <c r="G141" s="5">
        <f>IFERROR(VLOOKUP(F141,DM_Mon_GDPT2018!$A$3:$G$20,2,FALSE),"")</f>
        <v/>
      </c>
      <c r="H141" s="5">
        <f>IFERROR(VLOOKUP(F141,DM_Mon_GDPT2018!$A$3:$G$20,3,FALSE),"")</f>
        <v/>
      </c>
      <c r="I141" s="5">
        <f>IFERROR(VLOOKUP(F141,DM_Mon_GDPT2018!$A$3:$G$20,5,FALSE),"")</f>
        <v/>
      </c>
      <c r="J141" s="6">
        <f>IF($I141="","",ROUND($I141*Huong_dan!$B$7/Huong_dan!$B$9,0))</f>
        <v/>
      </c>
      <c r="K141" s="6">
        <f>IF($I141="","",$I141-$J141)</f>
        <v/>
      </c>
      <c r="L141" s="6" t="n"/>
      <c r="M141" s="6">
        <f>IFERROR(VLOOKUP(L141,DM_Giao_vien!$A$3:$H$102,2,FALSE),"")</f>
        <v/>
      </c>
      <c r="N141" s="6">
        <f>IFERROR(VLOOKUP(L141,DM_Giao_vien!$A$3:$H$102,8,FALSE),"")</f>
        <v/>
      </c>
      <c r="O141" s="6" t="n"/>
      <c r="P141" s="6">
        <f>IFERROR(VLOOKUP(O141,DM_Giao_vien!$A$3:$H$102,2,FALSE),"")</f>
        <v/>
      </c>
      <c r="Q141" s="6">
        <f>IFERROR(VLOOKUP(O141,DM_Giao_vien!$A$3:$H$102,8,FALSE),"")</f>
        <v/>
      </c>
      <c r="R141" s="6" t="n"/>
    </row>
    <row r="142">
      <c r="A142" s="5" t="n">
        <v>140</v>
      </c>
      <c r="B142" s="6">
        <f>IF(D142="","",Huong_dan!$B$6)</f>
        <v/>
      </c>
      <c r="C142" s="5" t="n"/>
      <c r="D142" s="5" t="n"/>
      <c r="E142" s="5" t="n"/>
      <c r="F142" s="5" t="n"/>
      <c r="G142" s="5">
        <f>IFERROR(VLOOKUP(F142,DM_Mon_GDPT2018!$A$3:$G$20,2,FALSE),"")</f>
        <v/>
      </c>
      <c r="H142" s="5">
        <f>IFERROR(VLOOKUP(F142,DM_Mon_GDPT2018!$A$3:$G$20,3,FALSE),"")</f>
        <v/>
      </c>
      <c r="I142" s="5">
        <f>IFERROR(VLOOKUP(F142,DM_Mon_GDPT2018!$A$3:$G$20,5,FALSE),"")</f>
        <v/>
      </c>
      <c r="J142" s="6">
        <f>IF($I142="","",ROUND($I142*Huong_dan!$B$7/Huong_dan!$B$9,0))</f>
        <v/>
      </c>
      <c r="K142" s="6">
        <f>IF($I142="","",$I142-$J142)</f>
        <v/>
      </c>
      <c r="L142" s="6" t="n"/>
      <c r="M142" s="6">
        <f>IFERROR(VLOOKUP(L142,DM_Giao_vien!$A$3:$H$102,2,FALSE),"")</f>
        <v/>
      </c>
      <c r="N142" s="6">
        <f>IFERROR(VLOOKUP(L142,DM_Giao_vien!$A$3:$H$102,8,FALSE),"")</f>
        <v/>
      </c>
      <c r="O142" s="6" t="n"/>
      <c r="P142" s="6">
        <f>IFERROR(VLOOKUP(O142,DM_Giao_vien!$A$3:$H$102,2,FALSE),"")</f>
        <v/>
      </c>
      <c r="Q142" s="6">
        <f>IFERROR(VLOOKUP(O142,DM_Giao_vien!$A$3:$H$102,8,FALSE),"")</f>
        <v/>
      </c>
      <c r="R142" s="6" t="n"/>
    </row>
    <row r="143">
      <c r="A143" s="5" t="n">
        <v>141</v>
      </c>
      <c r="B143" s="6">
        <f>IF(D143="","",Huong_dan!$B$6)</f>
        <v/>
      </c>
      <c r="C143" s="5" t="n"/>
      <c r="D143" s="5" t="n"/>
      <c r="E143" s="5" t="n"/>
      <c r="F143" s="5" t="n"/>
      <c r="G143" s="5">
        <f>IFERROR(VLOOKUP(F143,DM_Mon_GDPT2018!$A$3:$G$20,2,FALSE),"")</f>
        <v/>
      </c>
      <c r="H143" s="5">
        <f>IFERROR(VLOOKUP(F143,DM_Mon_GDPT2018!$A$3:$G$20,3,FALSE),"")</f>
        <v/>
      </c>
      <c r="I143" s="5">
        <f>IFERROR(VLOOKUP(F143,DM_Mon_GDPT2018!$A$3:$G$20,5,FALSE),"")</f>
        <v/>
      </c>
      <c r="J143" s="6">
        <f>IF($I143="","",ROUND($I143*Huong_dan!$B$7/Huong_dan!$B$9,0))</f>
        <v/>
      </c>
      <c r="K143" s="6">
        <f>IF($I143="","",$I143-$J143)</f>
        <v/>
      </c>
      <c r="L143" s="6" t="n"/>
      <c r="M143" s="6">
        <f>IFERROR(VLOOKUP(L143,DM_Giao_vien!$A$3:$H$102,2,FALSE),"")</f>
        <v/>
      </c>
      <c r="N143" s="6">
        <f>IFERROR(VLOOKUP(L143,DM_Giao_vien!$A$3:$H$102,8,FALSE),"")</f>
        <v/>
      </c>
      <c r="O143" s="6" t="n"/>
      <c r="P143" s="6">
        <f>IFERROR(VLOOKUP(O143,DM_Giao_vien!$A$3:$H$102,2,FALSE),"")</f>
        <v/>
      </c>
      <c r="Q143" s="6">
        <f>IFERROR(VLOOKUP(O143,DM_Giao_vien!$A$3:$H$102,8,FALSE),"")</f>
        <v/>
      </c>
      <c r="R143" s="6" t="n"/>
    </row>
    <row r="144">
      <c r="A144" s="5" t="n">
        <v>142</v>
      </c>
      <c r="B144" s="6">
        <f>IF(D144="","",Huong_dan!$B$6)</f>
        <v/>
      </c>
      <c r="C144" s="5" t="n"/>
      <c r="D144" s="5" t="n"/>
      <c r="E144" s="5" t="n"/>
      <c r="F144" s="5" t="n"/>
      <c r="G144" s="5">
        <f>IFERROR(VLOOKUP(F144,DM_Mon_GDPT2018!$A$3:$G$20,2,FALSE),"")</f>
        <v/>
      </c>
      <c r="H144" s="5">
        <f>IFERROR(VLOOKUP(F144,DM_Mon_GDPT2018!$A$3:$G$20,3,FALSE),"")</f>
        <v/>
      </c>
      <c r="I144" s="5">
        <f>IFERROR(VLOOKUP(F144,DM_Mon_GDPT2018!$A$3:$G$20,5,FALSE),"")</f>
        <v/>
      </c>
      <c r="J144" s="6">
        <f>IF($I144="","",ROUND($I144*Huong_dan!$B$7/Huong_dan!$B$9,0))</f>
        <v/>
      </c>
      <c r="K144" s="6">
        <f>IF($I144="","",$I144-$J144)</f>
        <v/>
      </c>
      <c r="L144" s="6" t="n"/>
      <c r="M144" s="6">
        <f>IFERROR(VLOOKUP(L144,DM_Giao_vien!$A$3:$H$102,2,FALSE),"")</f>
        <v/>
      </c>
      <c r="N144" s="6">
        <f>IFERROR(VLOOKUP(L144,DM_Giao_vien!$A$3:$H$102,8,FALSE),"")</f>
        <v/>
      </c>
      <c r="O144" s="6" t="n"/>
      <c r="P144" s="6">
        <f>IFERROR(VLOOKUP(O144,DM_Giao_vien!$A$3:$H$102,2,FALSE),"")</f>
        <v/>
      </c>
      <c r="Q144" s="6">
        <f>IFERROR(VLOOKUP(O144,DM_Giao_vien!$A$3:$H$102,8,FALSE),"")</f>
        <v/>
      </c>
      <c r="R144" s="6" t="n"/>
    </row>
    <row r="145">
      <c r="A145" s="5" t="n">
        <v>143</v>
      </c>
      <c r="B145" s="6">
        <f>IF(D145="","",Huong_dan!$B$6)</f>
        <v/>
      </c>
      <c r="C145" s="5" t="n"/>
      <c r="D145" s="5" t="n"/>
      <c r="E145" s="5" t="n"/>
      <c r="F145" s="5" t="n"/>
      <c r="G145" s="5">
        <f>IFERROR(VLOOKUP(F145,DM_Mon_GDPT2018!$A$3:$G$20,2,FALSE),"")</f>
        <v/>
      </c>
      <c r="H145" s="5">
        <f>IFERROR(VLOOKUP(F145,DM_Mon_GDPT2018!$A$3:$G$20,3,FALSE),"")</f>
        <v/>
      </c>
      <c r="I145" s="5">
        <f>IFERROR(VLOOKUP(F145,DM_Mon_GDPT2018!$A$3:$G$20,5,FALSE),"")</f>
        <v/>
      </c>
      <c r="J145" s="6">
        <f>IF($I145="","",ROUND($I145*Huong_dan!$B$7/Huong_dan!$B$9,0))</f>
        <v/>
      </c>
      <c r="K145" s="6">
        <f>IF($I145="","",$I145-$J145)</f>
        <v/>
      </c>
      <c r="L145" s="6" t="n"/>
      <c r="M145" s="6">
        <f>IFERROR(VLOOKUP(L145,DM_Giao_vien!$A$3:$H$102,2,FALSE),"")</f>
        <v/>
      </c>
      <c r="N145" s="6">
        <f>IFERROR(VLOOKUP(L145,DM_Giao_vien!$A$3:$H$102,8,FALSE),"")</f>
        <v/>
      </c>
      <c r="O145" s="6" t="n"/>
      <c r="P145" s="6">
        <f>IFERROR(VLOOKUP(O145,DM_Giao_vien!$A$3:$H$102,2,FALSE),"")</f>
        <v/>
      </c>
      <c r="Q145" s="6">
        <f>IFERROR(VLOOKUP(O145,DM_Giao_vien!$A$3:$H$102,8,FALSE),"")</f>
        <v/>
      </c>
      <c r="R145" s="6" t="n"/>
    </row>
    <row r="146">
      <c r="A146" s="5" t="n">
        <v>144</v>
      </c>
      <c r="B146" s="6">
        <f>IF(D146="","",Huong_dan!$B$6)</f>
        <v/>
      </c>
      <c r="C146" s="5" t="n"/>
      <c r="D146" s="5" t="n"/>
      <c r="E146" s="5" t="n"/>
      <c r="F146" s="5" t="n"/>
      <c r="G146" s="5">
        <f>IFERROR(VLOOKUP(F146,DM_Mon_GDPT2018!$A$3:$G$20,2,FALSE),"")</f>
        <v/>
      </c>
      <c r="H146" s="5">
        <f>IFERROR(VLOOKUP(F146,DM_Mon_GDPT2018!$A$3:$G$20,3,FALSE),"")</f>
        <v/>
      </c>
      <c r="I146" s="5">
        <f>IFERROR(VLOOKUP(F146,DM_Mon_GDPT2018!$A$3:$G$20,5,FALSE),"")</f>
        <v/>
      </c>
      <c r="J146" s="6">
        <f>IF($I146="","",ROUND($I146*Huong_dan!$B$7/Huong_dan!$B$9,0))</f>
        <v/>
      </c>
      <c r="K146" s="6">
        <f>IF($I146="","",$I146-$J146)</f>
        <v/>
      </c>
      <c r="L146" s="6" t="n"/>
      <c r="M146" s="6">
        <f>IFERROR(VLOOKUP(L146,DM_Giao_vien!$A$3:$H$102,2,FALSE),"")</f>
        <v/>
      </c>
      <c r="N146" s="6">
        <f>IFERROR(VLOOKUP(L146,DM_Giao_vien!$A$3:$H$102,8,FALSE),"")</f>
        <v/>
      </c>
      <c r="O146" s="6" t="n"/>
      <c r="P146" s="6">
        <f>IFERROR(VLOOKUP(O146,DM_Giao_vien!$A$3:$H$102,2,FALSE),"")</f>
        <v/>
      </c>
      <c r="Q146" s="6">
        <f>IFERROR(VLOOKUP(O146,DM_Giao_vien!$A$3:$H$102,8,FALSE),"")</f>
        <v/>
      </c>
      <c r="R146" s="6" t="n"/>
    </row>
    <row r="147">
      <c r="A147" s="5" t="n">
        <v>145</v>
      </c>
      <c r="B147" s="6">
        <f>IF(D147="","",Huong_dan!$B$6)</f>
        <v/>
      </c>
      <c r="C147" s="5" t="n"/>
      <c r="D147" s="5" t="n"/>
      <c r="E147" s="5" t="n"/>
      <c r="F147" s="5" t="n"/>
      <c r="G147" s="5">
        <f>IFERROR(VLOOKUP(F147,DM_Mon_GDPT2018!$A$3:$G$20,2,FALSE),"")</f>
        <v/>
      </c>
      <c r="H147" s="5">
        <f>IFERROR(VLOOKUP(F147,DM_Mon_GDPT2018!$A$3:$G$20,3,FALSE),"")</f>
        <v/>
      </c>
      <c r="I147" s="5">
        <f>IFERROR(VLOOKUP(F147,DM_Mon_GDPT2018!$A$3:$G$20,5,FALSE),"")</f>
        <v/>
      </c>
      <c r="J147" s="6">
        <f>IF($I147="","",ROUND($I147*Huong_dan!$B$7/Huong_dan!$B$9,0))</f>
        <v/>
      </c>
      <c r="K147" s="6">
        <f>IF($I147="","",$I147-$J147)</f>
        <v/>
      </c>
      <c r="L147" s="6" t="n"/>
      <c r="M147" s="6">
        <f>IFERROR(VLOOKUP(L147,DM_Giao_vien!$A$3:$H$102,2,FALSE),"")</f>
        <v/>
      </c>
      <c r="N147" s="6">
        <f>IFERROR(VLOOKUP(L147,DM_Giao_vien!$A$3:$H$102,8,FALSE),"")</f>
        <v/>
      </c>
      <c r="O147" s="6" t="n"/>
      <c r="P147" s="6">
        <f>IFERROR(VLOOKUP(O147,DM_Giao_vien!$A$3:$H$102,2,FALSE),"")</f>
        <v/>
      </c>
      <c r="Q147" s="6">
        <f>IFERROR(VLOOKUP(O147,DM_Giao_vien!$A$3:$H$102,8,FALSE),"")</f>
        <v/>
      </c>
      <c r="R147" s="6" t="n"/>
    </row>
    <row r="148">
      <c r="A148" s="5" t="n">
        <v>146</v>
      </c>
      <c r="B148" s="6">
        <f>IF(D148="","",Huong_dan!$B$6)</f>
        <v/>
      </c>
      <c r="C148" s="5" t="n"/>
      <c r="D148" s="5" t="n"/>
      <c r="E148" s="5" t="n"/>
      <c r="F148" s="5" t="n"/>
      <c r="G148" s="5">
        <f>IFERROR(VLOOKUP(F148,DM_Mon_GDPT2018!$A$3:$G$20,2,FALSE),"")</f>
        <v/>
      </c>
      <c r="H148" s="5">
        <f>IFERROR(VLOOKUP(F148,DM_Mon_GDPT2018!$A$3:$G$20,3,FALSE),"")</f>
        <v/>
      </c>
      <c r="I148" s="5">
        <f>IFERROR(VLOOKUP(F148,DM_Mon_GDPT2018!$A$3:$G$20,5,FALSE),"")</f>
        <v/>
      </c>
      <c r="J148" s="6">
        <f>IF($I148="","",ROUND($I148*Huong_dan!$B$7/Huong_dan!$B$9,0))</f>
        <v/>
      </c>
      <c r="K148" s="6">
        <f>IF($I148="","",$I148-$J148)</f>
        <v/>
      </c>
      <c r="L148" s="6" t="n"/>
      <c r="M148" s="6">
        <f>IFERROR(VLOOKUP(L148,DM_Giao_vien!$A$3:$H$102,2,FALSE),"")</f>
        <v/>
      </c>
      <c r="N148" s="6">
        <f>IFERROR(VLOOKUP(L148,DM_Giao_vien!$A$3:$H$102,8,FALSE),"")</f>
        <v/>
      </c>
      <c r="O148" s="6" t="n"/>
      <c r="P148" s="6">
        <f>IFERROR(VLOOKUP(O148,DM_Giao_vien!$A$3:$H$102,2,FALSE),"")</f>
        <v/>
      </c>
      <c r="Q148" s="6">
        <f>IFERROR(VLOOKUP(O148,DM_Giao_vien!$A$3:$H$102,8,FALSE),"")</f>
        <v/>
      </c>
      <c r="R148" s="6" t="n"/>
    </row>
    <row r="149">
      <c r="A149" s="5" t="n">
        <v>147</v>
      </c>
      <c r="B149" s="6">
        <f>IF(D149="","",Huong_dan!$B$6)</f>
        <v/>
      </c>
      <c r="C149" s="5" t="n"/>
      <c r="D149" s="5" t="n"/>
      <c r="E149" s="5" t="n"/>
      <c r="F149" s="5" t="n"/>
      <c r="G149" s="5">
        <f>IFERROR(VLOOKUP(F149,DM_Mon_GDPT2018!$A$3:$G$20,2,FALSE),"")</f>
        <v/>
      </c>
      <c r="H149" s="5">
        <f>IFERROR(VLOOKUP(F149,DM_Mon_GDPT2018!$A$3:$G$20,3,FALSE),"")</f>
        <v/>
      </c>
      <c r="I149" s="5">
        <f>IFERROR(VLOOKUP(F149,DM_Mon_GDPT2018!$A$3:$G$20,5,FALSE),"")</f>
        <v/>
      </c>
      <c r="J149" s="6">
        <f>IF($I149="","",ROUND($I149*Huong_dan!$B$7/Huong_dan!$B$9,0))</f>
        <v/>
      </c>
      <c r="K149" s="6">
        <f>IF($I149="","",$I149-$J149)</f>
        <v/>
      </c>
      <c r="L149" s="6" t="n"/>
      <c r="M149" s="6">
        <f>IFERROR(VLOOKUP(L149,DM_Giao_vien!$A$3:$H$102,2,FALSE),"")</f>
        <v/>
      </c>
      <c r="N149" s="6">
        <f>IFERROR(VLOOKUP(L149,DM_Giao_vien!$A$3:$H$102,8,FALSE),"")</f>
        <v/>
      </c>
      <c r="O149" s="6" t="n"/>
      <c r="P149" s="6">
        <f>IFERROR(VLOOKUP(O149,DM_Giao_vien!$A$3:$H$102,2,FALSE),"")</f>
        <v/>
      </c>
      <c r="Q149" s="6">
        <f>IFERROR(VLOOKUP(O149,DM_Giao_vien!$A$3:$H$102,8,FALSE),"")</f>
        <v/>
      </c>
      <c r="R149" s="6" t="n"/>
    </row>
    <row r="150">
      <c r="A150" s="5" t="n">
        <v>148</v>
      </c>
      <c r="B150" s="6">
        <f>IF(D150="","",Huong_dan!$B$6)</f>
        <v/>
      </c>
      <c r="C150" s="5" t="n"/>
      <c r="D150" s="5" t="n"/>
      <c r="E150" s="5" t="n"/>
      <c r="F150" s="5" t="n"/>
      <c r="G150" s="5">
        <f>IFERROR(VLOOKUP(F150,DM_Mon_GDPT2018!$A$3:$G$20,2,FALSE),"")</f>
        <v/>
      </c>
      <c r="H150" s="5">
        <f>IFERROR(VLOOKUP(F150,DM_Mon_GDPT2018!$A$3:$G$20,3,FALSE),"")</f>
        <v/>
      </c>
      <c r="I150" s="5">
        <f>IFERROR(VLOOKUP(F150,DM_Mon_GDPT2018!$A$3:$G$20,5,FALSE),"")</f>
        <v/>
      </c>
      <c r="J150" s="6">
        <f>IF($I150="","",ROUND($I150*Huong_dan!$B$7/Huong_dan!$B$9,0))</f>
        <v/>
      </c>
      <c r="K150" s="6">
        <f>IF($I150="","",$I150-$J150)</f>
        <v/>
      </c>
      <c r="L150" s="6" t="n"/>
      <c r="M150" s="6">
        <f>IFERROR(VLOOKUP(L150,DM_Giao_vien!$A$3:$H$102,2,FALSE),"")</f>
        <v/>
      </c>
      <c r="N150" s="6">
        <f>IFERROR(VLOOKUP(L150,DM_Giao_vien!$A$3:$H$102,8,FALSE),"")</f>
        <v/>
      </c>
      <c r="O150" s="6" t="n"/>
      <c r="P150" s="6">
        <f>IFERROR(VLOOKUP(O150,DM_Giao_vien!$A$3:$H$102,2,FALSE),"")</f>
        <v/>
      </c>
      <c r="Q150" s="6">
        <f>IFERROR(VLOOKUP(O150,DM_Giao_vien!$A$3:$H$102,8,FALSE),"")</f>
        <v/>
      </c>
      <c r="R150" s="6" t="n"/>
    </row>
    <row r="151">
      <c r="A151" s="5" t="n">
        <v>149</v>
      </c>
      <c r="B151" s="6">
        <f>IF(D151="","",Huong_dan!$B$6)</f>
        <v/>
      </c>
      <c r="C151" s="5" t="n"/>
      <c r="D151" s="5" t="n"/>
      <c r="E151" s="5" t="n"/>
      <c r="F151" s="5" t="n"/>
      <c r="G151" s="5">
        <f>IFERROR(VLOOKUP(F151,DM_Mon_GDPT2018!$A$3:$G$20,2,FALSE),"")</f>
        <v/>
      </c>
      <c r="H151" s="5">
        <f>IFERROR(VLOOKUP(F151,DM_Mon_GDPT2018!$A$3:$G$20,3,FALSE),"")</f>
        <v/>
      </c>
      <c r="I151" s="5">
        <f>IFERROR(VLOOKUP(F151,DM_Mon_GDPT2018!$A$3:$G$20,5,FALSE),"")</f>
        <v/>
      </c>
      <c r="J151" s="6">
        <f>IF($I151="","",ROUND($I151*Huong_dan!$B$7/Huong_dan!$B$9,0))</f>
        <v/>
      </c>
      <c r="K151" s="6">
        <f>IF($I151="","",$I151-$J151)</f>
        <v/>
      </c>
      <c r="L151" s="6" t="n"/>
      <c r="M151" s="6">
        <f>IFERROR(VLOOKUP(L151,DM_Giao_vien!$A$3:$H$102,2,FALSE),"")</f>
        <v/>
      </c>
      <c r="N151" s="6">
        <f>IFERROR(VLOOKUP(L151,DM_Giao_vien!$A$3:$H$102,8,FALSE),"")</f>
        <v/>
      </c>
      <c r="O151" s="6" t="n"/>
      <c r="P151" s="6">
        <f>IFERROR(VLOOKUP(O151,DM_Giao_vien!$A$3:$H$102,2,FALSE),"")</f>
        <v/>
      </c>
      <c r="Q151" s="6">
        <f>IFERROR(VLOOKUP(O151,DM_Giao_vien!$A$3:$H$102,8,FALSE),"")</f>
        <v/>
      </c>
      <c r="R151" s="6" t="n"/>
    </row>
    <row r="152">
      <c r="A152" s="5" t="n">
        <v>150</v>
      </c>
      <c r="B152" s="6">
        <f>IF(D152="","",Huong_dan!$B$6)</f>
        <v/>
      </c>
      <c r="C152" s="5" t="n"/>
      <c r="D152" s="5" t="n"/>
      <c r="E152" s="5" t="n"/>
      <c r="F152" s="5" t="n"/>
      <c r="G152" s="5">
        <f>IFERROR(VLOOKUP(F152,DM_Mon_GDPT2018!$A$3:$G$20,2,FALSE),"")</f>
        <v/>
      </c>
      <c r="H152" s="5">
        <f>IFERROR(VLOOKUP(F152,DM_Mon_GDPT2018!$A$3:$G$20,3,FALSE),"")</f>
        <v/>
      </c>
      <c r="I152" s="5">
        <f>IFERROR(VLOOKUP(F152,DM_Mon_GDPT2018!$A$3:$G$20,5,FALSE),"")</f>
        <v/>
      </c>
      <c r="J152" s="6">
        <f>IF($I152="","",ROUND($I152*Huong_dan!$B$7/Huong_dan!$B$9,0))</f>
        <v/>
      </c>
      <c r="K152" s="6">
        <f>IF($I152="","",$I152-$J152)</f>
        <v/>
      </c>
      <c r="L152" s="6" t="n"/>
      <c r="M152" s="6">
        <f>IFERROR(VLOOKUP(L152,DM_Giao_vien!$A$3:$H$102,2,FALSE),"")</f>
        <v/>
      </c>
      <c r="N152" s="6">
        <f>IFERROR(VLOOKUP(L152,DM_Giao_vien!$A$3:$H$102,8,FALSE),"")</f>
        <v/>
      </c>
      <c r="O152" s="6" t="n"/>
      <c r="P152" s="6">
        <f>IFERROR(VLOOKUP(O152,DM_Giao_vien!$A$3:$H$102,2,FALSE),"")</f>
        <v/>
      </c>
      <c r="Q152" s="6">
        <f>IFERROR(VLOOKUP(O152,DM_Giao_vien!$A$3:$H$102,8,FALSE),"")</f>
        <v/>
      </c>
      <c r="R152" s="6" t="n"/>
    </row>
    <row r="153">
      <c r="A153" s="5" t="n">
        <v>151</v>
      </c>
      <c r="B153" s="6">
        <f>IF(D153="","",Huong_dan!$B$6)</f>
        <v/>
      </c>
      <c r="C153" s="5" t="n"/>
      <c r="D153" s="5" t="n"/>
      <c r="E153" s="5" t="n"/>
      <c r="F153" s="5" t="n"/>
      <c r="G153" s="5">
        <f>IFERROR(VLOOKUP(F153,DM_Mon_GDPT2018!$A$3:$G$20,2,FALSE),"")</f>
        <v/>
      </c>
      <c r="H153" s="5">
        <f>IFERROR(VLOOKUP(F153,DM_Mon_GDPT2018!$A$3:$G$20,3,FALSE),"")</f>
        <v/>
      </c>
      <c r="I153" s="5">
        <f>IFERROR(VLOOKUP(F153,DM_Mon_GDPT2018!$A$3:$G$20,5,FALSE),"")</f>
        <v/>
      </c>
      <c r="J153" s="6">
        <f>IF($I153="","",ROUND($I153*Huong_dan!$B$7/Huong_dan!$B$9,0))</f>
        <v/>
      </c>
      <c r="K153" s="6">
        <f>IF($I153="","",$I153-$J153)</f>
        <v/>
      </c>
      <c r="L153" s="6" t="n"/>
      <c r="M153" s="6">
        <f>IFERROR(VLOOKUP(L153,DM_Giao_vien!$A$3:$H$102,2,FALSE),"")</f>
        <v/>
      </c>
      <c r="N153" s="6">
        <f>IFERROR(VLOOKUP(L153,DM_Giao_vien!$A$3:$H$102,8,FALSE),"")</f>
        <v/>
      </c>
      <c r="O153" s="6" t="n"/>
      <c r="P153" s="6">
        <f>IFERROR(VLOOKUP(O153,DM_Giao_vien!$A$3:$H$102,2,FALSE),"")</f>
        <v/>
      </c>
      <c r="Q153" s="6">
        <f>IFERROR(VLOOKUP(O153,DM_Giao_vien!$A$3:$H$102,8,FALSE),"")</f>
        <v/>
      </c>
      <c r="R153" s="6" t="n"/>
    </row>
    <row r="154">
      <c r="A154" s="5" t="n">
        <v>152</v>
      </c>
      <c r="B154" s="6">
        <f>IF(D154="","",Huong_dan!$B$6)</f>
        <v/>
      </c>
      <c r="C154" s="5" t="n"/>
      <c r="D154" s="5" t="n"/>
      <c r="E154" s="5" t="n"/>
      <c r="F154" s="5" t="n"/>
      <c r="G154" s="5">
        <f>IFERROR(VLOOKUP(F154,DM_Mon_GDPT2018!$A$3:$G$20,2,FALSE),"")</f>
        <v/>
      </c>
      <c r="H154" s="5">
        <f>IFERROR(VLOOKUP(F154,DM_Mon_GDPT2018!$A$3:$G$20,3,FALSE),"")</f>
        <v/>
      </c>
      <c r="I154" s="5">
        <f>IFERROR(VLOOKUP(F154,DM_Mon_GDPT2018!$A$3:$G$20,5,FALSE),"")</f>
        <v/>
      </c>
      <c r="J154" s="6">
        <f>IF($I154="","",ROUND($I154*Huong_dan!$B$7/Huong_dan!$B$9,0))</f>
        <v/>
      </c>
      <c r="K154" s="6">
        <f>IF($I154="","",$I154-$J154)</f>
        <v/>
      </c>
      <c r="L154" s="6" t="n"/>
      <c r="M154" s="6">
        <f>IFERROR(VLOOKUP(L154,DM_Giao_vien!$A$3:$H$102,2,FALSE),"")</f>
        <v/>
      </c>
      <c r="N154" s="6">
        <f>IFERROR(VLOOKUP(L154,DM_Giao_vien!$A$3:$H$102,8,FALSE),"")</f>
        <v/>
      </c>
      <c r="O154" s="6" t="n"/>
      <c r="P154" s="6">
        <f>IFERROR(VLOOKUP(O154,DM_Giao_vien!$A$3:$H$102,2,FALSE),"")</f>
        <v/>
      </c>
      <c r="Q154" s="6">
        <f>IFERROR(VLOOKUP(O154,DM_Giao_vien!$A$3:$H$102,8,FALSE),"")</f>
        <v/>
      </c>
      <c r="R154" s="6" t="n"/>
    </row>
    <row r="155">
      <c r="A155" s="5" t="n">
        <v>153</v>
      </c>
      <c r="B155" s="6">
        <f>IF(D155="","",Huong_dan!$B$6)</f>
        <v/>
      </c>
      <c r="C155" s="5" t="n"/>
      <c r="D155" s="5" t="n"/>
      <c r="E155" s="5" t="n"/>
      <c r="F155" s="5" t="n"/>
      <c r="G155" s="5">
        <f>IFERROR(VLOOKUP(F155,DM_Mon_GDPT2018!$A$3:$G$20,2,FALSE),"")</f>
        <v/>
      </c>
      <c r="H155" s="5">
        <f>IFERROR(VLOOKUP(F155,DM_Mon_GDPT2018!$A$3:$G$20,3,FALSE),"")</f>
        <v/>
      </c>
      <c r="I155" s="5">
        <f>IFERROR(VLOOKUP(F155,DM_Mon_GDPT2018!$A$3:$G$20,5,FALSE),"")</f>
        <v/>
      </c>
      <c r="J155" s="6">
        <f>IF($I155="","",ROUND($I155*Huong_dan!$B$7/Huong_dan!$B$9,0))</f>
        <v/>
      </c>
      <c r="K155" s="6">
        <f>IF($I155="","",$I155-$J155)</f>
        <v/>
      </c>
      <c r="L155" s="6" t="n"/>
      <c r="M155" s="6">
        <f>IFERROR(VLOOKUP(L155,DM_Giao_vien!$A$3:$H$102,2,FALSE),"")</f>
        <v/>
      </c>
      <c r="N155" s="6">
        <f>IFERROR(VLOOKUP(L155,DM_Giao_vien!$A$3:$H$102,8,FALSE),"")</f>
        <v/>
      </c>
      <c r="O155" s="6" t="n"/>
      <c r="P155" s="6">
        <f>IFERROR(VLOOKUP(O155,DM_Giao_vien!$A$3:$H$102,2,FALSE),"")</f>
        <v/>
      </c>
      <c r="Q155" s="6">
        <f>IFERROR(VLOOKUP(O155,DM_Giao_vien!$A$3:$H$102,8,FALSE),"")</f>
        <v/>
      </c>
      <c r="R155" s="6" t="n"/>
    </row>
    <row r="156">
      <c r="A156" s="5" t="n">
        <v>154</v>
      </c>
      <c r="B156" s="6">
        <f>IF(D156="","",Huong_dan!$B$6)</f>
        <v/>
      </c>
      <c r="C156" s="5" t="n"/>
      <c r="D156" s="5" t="n"/>
      <c r="E156" s="5" t="n"/>
      <c r="F156" s="5" t="n"/>
      <c r="G156" s="5">
        <f>IFERROR(VLOOKUP(F156,DM_Mon_GDPT2018!$A$3:$G$20,2,FALSE),"")</f>
        <v/>
      </c>
      <c r="H156" s="5">
        <f>IFERROR(VLOOKUP(F156,DM_Mon_GDPT2018!$A$3:$G$20,3,FALSE),"")</f>
        <v/>
      </c>
      <c r="I156" s="5">
        <f>IFERROR(VLOOKUP(F156,DM_Mon_GDPT2018!$A$3:$G$20,5,FALSE),"")</f>
        <v/>
      </c>
      <c r="J156" s="6">
        <f>IF($I156="","",ROUND($I156*Huong_dan!$B$7/Huong_dan!$B$9,0))</f>
        <v/>
      </c>
      <c r="K156" s="6">
        <f>IF($I156="","",$I156-$J156)</f>
        <v/>
      </c>
      <c r="L156" s="6" t="n"/>
      <c r="M156" s="6">
        <f>IFERROR(VLOOKUP(L156,DM_Giao_vien!$A$3:$H$102,2,FALSE),"")</f>
        <v/>
      </c>
      <c r="N156" s="6">
        <f>IFERROR(VLOOKUP(L156,DM_Giao_vien!$A$3:$H$102,8,FALSE),"")</f>
        <v/>
      </c>
      <c r="O156" s="6" t="n"/>
      <c r="P156" s="6">
        <f>IFERROR(VLOOKUP(O156,DM_Giao_vien!$A$3:$H$102,2,FALSE),"")</f>
        <v/>
      </c>
      <c r="Q156" s="6">
        <f>IFERROR(VLOOKUP(O156,DM_Giao_vien!$A$3:$H$102,8,FALSE),"")</f>
        <v/>
      </c>
      <c r="R156" s="6" t="n"/>
    </row>
    <row r="157">
      <c r="A157" s="5" t="n">
        <v>155</v>
      </c>
      <c r="B157" s="6">
        <f>IF(D157="","",Huong_dan!$B$6)</f>
        <v/>
      </c>
      <c r="C157" s="5" t="n"/>
      <c r="D157" s="5" t="n"/>
      <c r="E157" s="5" t="n"/>
      <c r="F157" s="5" t="n"/>
      <c r="G157" s="5">
        <f>IFERROR(VLOOKUP(F157,DM_Mon_GDPT2018!$A$3:$G$20,2,FALSE),"")</f>
        <v/>
      </c>
      <c r="H157" s="5">
        <f>IFERROR(VLOOKUP(F157,DM_Mon_GDPT2018!$A$3:$G$20,3,FALSE),"")</f>
        <v/>
      </c>
      <c r="I157" s="5">
        <f>IFERROR(VLOOKUP(F157,DM_Mon_GDPT2018!$A$3:$G$20,5,FALSE),"")</f>
        <v/>
      </c>
      <c r="J157" s="6">
        <f>IF($I157="","",ROUND($I157*Huong_dan!$B$7/Huong_dan!$B$9,0))</f>
        <v/>
      </c>
      <c r="K157" s="6">
        <f>IF($I157="","",$I157-$J157)</f>
        <v/>
      </c>
      <c r="L157" s="6" t="n"/>
      <c r="M157" s="6">
        <f>IFERROR(VLOOKUP(L157,DM_Giao_vien!$A$3:$H$102,2,FALSE),"")</f>
        <v/>
      </c>
      <c r="N157" s="6">
        <f>IFERROR(VLOOKUP(L157,DM_Giao_vien!$A$3:$H$102,8,FALSE),"")</f>
        <v/>
      </c>
      <c r="O157" s="6" t="n"/>
      <c r="P157" s="6">
        <f>IFERROR(VLOOKUP(O157,DM_Giao_vien!$A$3:$H$102,2,FALSE),"")</f>
        <v/>
      </c>
      <c r="Q157" s="6">
        <f>IFERROR(VLOOKUP(O157,DM_Giao_vien!$A$3:$H$102,8,FALSE),"")</f>
        <v/>
      </c>
      <c r="R157" s="6" t="n"/>
    </row>
    <row r="158">
      <c r="A158" s="5" t="n">
        <v>156</v>
      </c>
      <c r="B158" s="6">
        <f>IF(D158="","",Huong_dan!$B$6)</f>
        <v/>
      </c>
      <c r="C158" s="5" t="n"/>
      <c r="D158" s="5" t="n"/>
      <c r="E158" s="5" t="n"/>
      <c r="F158" s="5" t="n"/>
      <c r="G158" s="5">
        <f>IFERROR(VLOOKUP(F158,DM_Mon_GDPT2018!$A$3:$G$20,2,FALSE),"")</f>
        <v/>
      </c>
      <c r="H158" s="5">
        <f>IFERROR(VLOOKUP(F158,DM_Mon_GDPT2018!$A$3:$G$20,3,FALSE),"")</f>
        <v/>
      </c>
      <c r="I158" s="5">
        <f>IFERROR(VLOOKUP(F158,DM_Mon_GDPT2018!$A$3:$G$20,5,FALSE),"")</f>
        <v/>
      </c>
      <c r="J158" s="6">
        <f>IF($I158="","",ROUND($I158*Huong_dan!$B$7/Huong_dan!$B$9,0))</f>
        <v/>
      </c>
      <c r="K158" s="6">
        <f>IF($I158="","",$I158-$J158)</f>
        <v/>
      </c>
      <c r="L158" s="6" t="n"/>
      <c r="M158" s="6">
        <f>IFERROR(VLOOKUP(L158,DM_Giao_vien!$A$3:$H$102,2,FALSE),"")</f>
        <v/>
      </c>
      <c r="N158" s="6">
        <f>IFERROR(VLOOKUP(L158,DM_Giao_vien!$A$3:$H$102,8,FALSE),"")</f>
        <v/>
      </c>
      <c r="O158" s="6" t="n"/>
      <c r="P158" s="6">
        <f>IFERROR(VLOOKUP(O158,DM_Giao_vien!$A$3:$H$102,2,FALSE),"")</f>
        <v/>
      </c>
      <c r="Q158" s="6">
        <f>IFERROR(VLOOKUP(O158,DM_Giao_vien!$A$3:$H$102,8,FALSE),"")</f>
        <v/>
      </c>
      <c r="R158" s="6" t="n"/>
    </row>
    <row r="159">
      <c r="A159" s="5" t="n">
        <v>157</v>
      </c>
      <c r="B159" s="6">
        <f>IF(D159="","",Huong_dan!$B$6)</f>
        <v/>
      </c>
      <c r="C159" s="5" t="n"/>
      <c r="D159" s="5" t="n"/>
      <c r="E159" s="5" t="n"/>
      <c r="F159" s="5" t="n"/>
      <c r="G159" s="5">
        <f>IFERROR(VLOOKUP(F159,DM_Mon_GDPT2018!$A$3:$G$20,2,FALSE),"")</f>
        <v/>
      </c>
      <c r="H159" s="5">
        <f>IFERROR(VLOOKUP(F159,DM_Mon_GDPT2018!$A$3:$G$20,3,FALSE),"")</f>
        <v/>
      </c>
      <c r="I159" s="5">
        <f>IFERROR(VLOOKUP(F159,DM_Mon_GDPT2018!$A$3:$G$20,5,FALSE),"")</f>
        <v/>
      </c>
      <c r="J159" s="6">
        <f>IF($I159="","",ROUND($I159*Huong_dan!$B$7/Huong_dan!$B$9,0))</f>
        <v/>
      </c>
      <c r="K159" s="6">
        <f>IF($I159="","",$I159-$J159)</f>
        <v/>
      </c>
      <c r="L159" s="6" t="n"/>
      <c r="M159" s="6">
        <f>IFERROR(VLOOKUP(L159,DM_Giao_vien!$A$3:$H$102,2,FALSE),"")</f>
        <v/>
      </c>
      <c r="N159" s="6">
        <f>IFERROR(VLOOKUP(L159,DM_Giao_vien!$A$3:$H$102,8,FALSE),"")</f>
        <v/>
      </c>
      <c r="O159" s="6" t="n"/>
      <c r="P159" s="6">
        <f>IFERROR(VLOOKUP(O159,DM_Giao_vien!$A$3:$H$102,2,FALSE),"")</f>
        <v/>
      </c>
      <c r="Q159" s="6">
        <f>IFERROR(VLOOKUP(O159,DM_Giao_vien!$A$3:$H$102,8,FALSE),"")</f>
        <v/>
      </c>
      <c r="R159" s="6" t="n"/>
    </row>
    <row r="160">
      <c r="A160" s="5" t="n">
        <v>158</v>
      </c>
      <c r="B160" s="6">
        <f>IF(D160="","",Huong_dan!$B$6)</f>
        <v/>
      </c>
      <c r="C160" s="5" t="n"/>
      <c r="D160" s="5" t="n"/>
      <c r="E160" s="5" t="n"/>
      <c r="F160" s="5" t="n"/>
      <c r="G160" s="5">
        <f>IFERROR(VLOOKUP(F160,DM_Mon_GDPT2018!$A$3:$G$20,2,FALSE),"")</f>
        <v/>
      </c>
      <c r="H160" s="5">
        <f>IFERROR(VLOOKUP(F160,DM_Mon_GDPT2018!$A$3:$G$20,3,FALSE),"")</f>
        <v/>
      </c>
      <c r="I160" s="5">
        <f>IFERROR(VLOOKUP(F160,DM_Mon_GDPT2018!$A$3:$G$20,5,FALSE),"")</f>
        <v/>
      </c>
      <c r="J160" s="6">
        <f>IF($I160="","",ROUND($I160*Huong_dan!$B$7/Huong_dan!$B$9,0))</f>
        <v/>
      </c>
      <c r="K160" s="6">
        <f>IF($I160="","",$I160-$J160)</f>
        <v/>
      </c>
      <c r="L160" s="6" t="n"/>
      <c r="M160" s="6">
        <f>IFERROR(VLOOKUP(L160,DM_Giao_vien!$A$3:$H$102,2,FALSE),"")</f>
        <v/>
      </c>
      <c r="N160" s="6">
        <f>IFERROR(VLOOKUP(L160,DM_Giao_vien!$A$3:$H$102,8,FALSE),"")</f>
        <v/>
      </c>
      <c r="O160" s="6" t="n"/>
      <c r="P160" s="6">
        <f>IFERROR(VLOOKUP(O160,DM_Giao_vien!$A$3:$H$102,2,FALSE),"")</f>
        <v/>
      </c>
      <c r="Q160" s="6">
        <f>IFERROR(VLOOKUP(O160,DM_Giao_vien!$A$3:$H$102,8,FALSE),"")</f>
        <v/>
      </c>
      <c r="R160" s="6" t="n"/>
    </row>
    <row r="161">
      <c r="A161" s="5" t="n">
        <v>159</v>
      </c>
      <c r="B161" s="6">
        <f>IF(D161="","",Huong_dan!$B$6)</f>
        <v/>
      </c>
      <c r="C161" s="5" t="n"/>
      <c r="D161" s="5" t="n"/>
      <c r="E161" s="5" t="n"/>
      <c r="F161" s="5" t="n"/>
      <c r="G161" s="5">
        <f>IFERROR(VLOOKUP(F161,DM_Mon_GDPT2018!$A$3:$G$20,2,FALSE),"")</f>
        <v/>
      </c>
      <c r="H161" s="5">
        <f>IFERROR(VLOOKUP(F161,DM_Mon_GDPT2018!$A$3:$G$20,3,FALSE),"")</f>
        <v/>
      </c>
      <c r="I161" s="5">
        <f>IFERROR(VLOOKUP(F161,DM_Mon_GDPT2018!$A$3:$G$20,5,FALSE),"")</f>
        <v/>
      </c>
      <c r="J161" s="6">
        <f>IF($I161="","",ROUND($I161*Huong_dan!$B$7/Huong_dan!$B$9,0))</f>
        <v/>
      </c>
      <c r="K161" s="6">
        <f>IF($I161="","",$I161-$J161)</f>
        <v/>
      </c>
      <c r="L161" s="6" t="n"/>
      <c r="M161" s="6">
        <f>IFERROR(VLOOKUP(L161,DM_Giao_vien!$A$3:$H$102,2,FALSE),"")</f>
        <v/>
      </c>
      <c r="N161" s="6">
        <f>IFERROR(VLOOKUP(L161,DM_Giao_vien!$A$3:$H$102,8,FALSE),"")</f>
        <v/>
      </c>
      <c r="O161" s="6" t="n"/>
      <c r="P161" s="6">
        <f>IFERROR(VLOOKUP(O161,DM_Giao_vien!$A$3:$H$102,2,FALSE),"")</f>
        <v/>
      </c>
      <c r="Q161" s="6">
        <f>IFERROR(VLOOKUP(O161,DM_Giao_vien!$A$3:$H$102,8,FALSE),"")</f>
        <v/>
      </c>
      <c r="R161" s="6" t="n"/>
    </row>
    <row r="162">
      <c r="A162" s="5" t="n">
        <v>160</v>
      </c>
      <c r="B162" s="6">
        <f>IF(D162="","",Huong_dan!$B$6)</f>
        <v/>
      </c>
      <c r="C162" s="5" t="n"/>
      <c r="D162" s="5" t="n"/>
      <c r="E162" s="5" t="n"/>
      <c r="F162" s="5" t="n"/>
      <c r="G162" s="5">
        <f>IFERROR(VLOOKUP(F162,DM_Mon_GDPT2018!$A$3:$G$20,2,FALSE),"")</f>
        <v/>
      </c>
      <c r="H162" s="5">
        <f>IFERROR(VLOOKUP(F162,DM_Mon_GDPT2018!$A$3:$G$20,3,FALSE),"")</f>
        <v/>
      </c>
      <c r="I162" s="5">
        <f>IFERROR(VLOOKUP(F162,DM_Mon_GDPT2018!$A$3:$G$20,5,FALSE),"")</f>
        <v/>
      </c>
      <c r="J162" s="6">
        <f>IF($I162="","",ROUND($I162*Huong_dan!$B$7/Huong_dan!$B$9,0))</f>
        <v/>
      </c>
      <c r="K162" s="6">
        <f>IF($I162="","",$I162-$J162)</f>
        <v/>
      </c>
      <c r="L162" s="6" t="n"/>
      <c r="M162" s="6">
        <f>IFERROR(VLOOKUP(L162,DM_Giao_vien!$A$3:$H$102,2,FALSE),"")</f>
        <v/>
      </c>
      <c r="N162" s="6">
        <f>IFERROR(VLOOKUP(L162,DM_Giao_vien!$A$3:$H$102,8,FALSE),"")</f>
        <v/>
      </c>
      <c r="O162" s="6" t="n"/>
      <c r="P162" s="6">
        <f>IFERROR(VLOOKUP(O162,DM_Giao_vien!$A$3:$H$102,2,FALSE),"")</f>
        <v/>
      </c>
      <c r="Q162" s="6">
        <f>IFERROR(VLOOKUP(O162,DM_Giao_vien!$A$3:$H$102,8,FALSE),"")</f>
        <v/>
      </c>
      <c r="R162" s="6" t="n"/>
    </row>
    <row r="163">
      <c r="A163" s="5" t="n">
        <v>161</v>
      </c>
      <c r="B163" s="6">
        <f>IF(D163="","",Huong_dan!$B$6)</f>
        <v/>
      </c>
      <c r="C163" s="5" t="n"/>
      <c r="D163" s="5" t="n"/>
      <c r="E163" s="5" t="n"/>
      <c r="F163" s="5" t="n"/>
      <c r="G163" s="5">
        <f>IFERROR(VLOOKUP(F163,DM_Mon_GDPT2018!$A$3:$G$20,2,FALSE),"")</f>
        <v/>
      </c>
      <c r="H163" s="5">
        <f>IFERROR(VLOOKUP(F163,DM_Mon_GDPT2018!$A$3:$G$20,3,FALSE),"")</f>
        <v/>
      </c>
      <c r="I163" s="5">
        <f>IFERROR(VLOOKUP(F163,DM_Mon_GDPT2018!$A$3:$G$20,5,FALSE),"")</f>
        <v/>
      </c>
      <c r="J163" s="6">
        <f>IF($I163="","",ROUND($I163*Huong_dan!$B$7/Huong_dan!$B$9,0))</f>
        <v/>
      </c>
      <c r="K163" s="6">
        <f>IF($I163="","",$I163-$J163)</f>
        <v/>
      </c>
      <c r="L163" s="6" t="n"/>
      <c r="M163" s="6">
        <f>IFERROR(VLOOKUP(L163,DM_Giao_vien!$A$3:$H$102,2,FALSE),"")</f>
        <v/>
      </c>
      <c r="N163" s="6">
        <f>IFERROR(VLOOKUP(L163,DM_Giao_vien!$A$3:$H$102,8,FALSE),"")</f>
        <v/>
      </c>
      <c r="O163" s="6" t="n"/>
      <c r="P163" s="6">
        <f>IFERROR(VLOOKUP(O163,DM_Giao_vien!$A$3:$H$102,2,FALSE),"")</f>
        <v/>
      </c>
      <c r="Q163" s="6">
        <f>IFERROR(VLOOKUP(O163,DM_Giao_vien!$A$3:$H$102,8,FALSE),"")</f>
        <v/>
      </c>
      <c r="R163" s="6" t="n"/>
    </row>
    <row r="164">
      <c r="A164" s="5" t="n">
        <v>162</v>
      </c>
      <c r="B164" s="6">
        <f>IF(D164="","",Huong_dan!$B$6)</f>
        <v/>
      </c>
      <c r="C164" s="5" t="n"/>
      <c r="D164" s="5" t="n"/>
      <c r="E164" s="5" t="n"/>
      <c r="F164" s="5" t="n"/>
      <c r="G164" s="5">
        <f>IFERROR(VLOOKUP(F164,DM_Mon_GDPT2018!$A$3:$G$20,2,FALSE),"")</f>
        <v/>
      </c>
      <c r="H164" s="5">
        <f>IFERROR(VLOOKUP(F164,DM_Mon_GDPT2018!$A$3:$G$20,3,FALSE),"")</f>
        <v/>
      </c>
      <c r="I164" s="5">
        <f>IFERROR(VLOOKUP(F164,DM_Mon_GDPT2018!$A$3:$G$20,5,FALSE),"")</f>
        <v/>
      </c>
      <c r="J164" s="6">
        <f>IF($I164="","",ROUND($I164*Huong_dan!$B$7/Huong_dan!$B$9,0))</f>
        <v/>
      </c>
      <c r="K164" s="6">
        <f>IF($I164="","",$I164-$J164)</f>
        <v/>
      </c>
      <c r="L164" s="6" t="n"/>
      <c r="M164" s="6">
        <f>IFERROR(VLOOKUP(L164,DM_Giao_vien!$A$3:$H$102,2,FALSE),"")</f>
        <v/>
      </c>
      <c r="N164" s="6">
        <f>IFERROR(VLOOKUP(L164,DM_Giao_vien!$A$3:$H$102,8,FALSE),"")</f>
        <v/>
      </c>
      <c r="O164" s="6" t="n"/>
      <c r="P164" s="6">
        <f>IFERROR(VLOOKUP(O164,DM_Giao_vien!$A$3:$H$102,2,FALSE),"")</f>
        <v/>
      </c>
      <c r="Q164" s="6">
        <f>IFERROR(VLOOKUP(O164,DM_Giao_vien!$A$3:$H$102,8,FALSE),"")</f>
        <v/>
      </c>
      <c r="R164" s="6" t="n"/>
    </row>
    <row r="165">
      <c r="A165" s="5" t="n">
        <v>163</v>
      </c>
      <c r="B165" s="6">
        <f>IF(D165="","",Huong_dan!$B$6)</f>
        <v/>
      </c>
      <c r="C165" s="5" t="n"/>
      <c r="D165" s="5" t="n"/>
      <c r="E165" s="5" t="n"/>
      <c r="F165" s="5" t="n"/>
      <c r="G165" s="5">
        <f>IFERROR(VLOOKUP(F165,DM_Mon_GDPT2018!$A$3:$G$20,2,FALSE),"")</f>
        <v/>
      </c>
      <c r="H165" s="5">
        <f>IFERROR(VLOOKUP(F165,DM_Mon_GDPT2018!$A$3:$G$20,3,FALSE),"")</f>
        <v/>
      </c>
      <c r="I165" s="5">
        <f>IFERROR(VLOOKUP(F165,DM_Mon_GDPT2018!$A$3:$G$20,5,FALSE),"")</f>
        <v/>
      </c>
      <c r="J165" s="6">
        <f>IF($I165="","",ROUND($I165*Huong_dan!$B$7/Huong_dan!$B$9,0))</f>
        <v/>
      </c>
      <c r="K165" s="6">
        <f>IF($I165="","",$I165-$J165)</f>
        <v/>
      </c>
      <c r="L165" s="6" t="n"/>
      <c r="M165" s="6">
        <f>IFERROR(VLOOKUP(L165,DM_Giao_vien!$A$3:$H$102,2,FALSE),"")</f>
        <v/>
      </c>
      <c r="N165" s="6">
        <f>IFERROR(VLOOKUP(L165,DM_Giao_vien!$A$3:$H$102,8,FALSE),"")</f>
        <v/>
      </c>
      <c r="O165" s="6" t="n"/>
      <c r="P165" s="6">
        <f>IFERROR(VLOOKUP(O165,DM_Giao_vien!$A$3:$H$102,2,FALSE),"")</f>
        <v/>
      </c>
      <c r="Q165" s="6">
        <f>IFERROR(VLOOKUP(O165,DM_Giao_vien!$A$3:$H$102,8,FALSE),"")</f>
        <v/>
      </c>
      <c r="R165" s="6" t="n"/>
    </row>
    <row r="166">
      <c r="A166" s="5" t="n">
        <v>164</v>
      </c>
      <c r="B166" s="6">
        <f>IF(D166="","",Huong_dan!$B$6)</f>
        <v/>
      </c>
      <c r="C166" s="5" t="n"/>
      <c r="D166" s="5" t="n"/>
      <c r="E166" s="5" t="n"/>
      <c r="F166" s="5" t="n"/>
      <c r="G166" s="5">
        <f>IFERROR(VLOOKUP(F166,DM_Mon_GDPT2018!$A$3:$G$20,2,FALSE),"")</f>
        <v/>
      </c>
      <c r="H166" s="5">
        <f>IFERROR(VLOOKUP(F166,DM_Mon_GDPT2018!$A$3:$G$20,3,FALSE),"")</f>
        <v/>
      </c>
      <c r="I166" s="5">
        <f>IFERROR(VLOOKUP(F166,DM_Mon_GDPT2018!$A$3:$G$20,5,FALSE),"")</f>
        <v/>
      </c>
      <c r="J166" s="6">
        <f>IF($I166="","",ROUND($I166*Huong_dan!$B$7/Huong_dan!$B$9,0))</f>
        <v/>
      </c>
      <c r="K166" s="6">
        <f>IF($I166="","",$I166-$J166)</f>
        <v/>
      </c>
      <c r="L166" s="6" t="n"/>
      <c r="M166" s="6">
        <f>IFERROR(VLOOKUP(L166,DM_Giao_vien!$A$3:$H$102,2,FALSE),"")</f>
        <v/>
      </c>
      <c r="N166" s="6">
        <f>IFERROR(VLOOKUP(L166,DM_Giao_vien!$A$3:$H$102,8,FALSE),"")</f>
        <v/>
      </c>
      <c r="O166" s="6" t="n"/>
      <c r="P166" s="6">
        <f>IFERROR(VLOOKUP(O166,DM_Giao_vien!$A$3:$H$102,2,FALSE),"")</f>
        <v/>
      </c>
      <c r="Q166" s="6">
        <f>IFERROR(VLOOKUP(O166,DM_Giao_vien!$A$3:$H$102,8,FALSE),"")</f>
        <v/>
      </c>
      <c r="R166" s="6" t="n"/>
    </row>
    <row r="167">
      <c r="A167" s="5" t="n">
        <v>165</v>
      </c>
      <c r="B167" s="6">
        <f>IF(D167="","",Huong_dan!$B$6)</f>
        <v/>
      </c>
      <c r="C167" s="5" t="n"/>
      <c r="D167" s="5" t="n"/>
      <c r="E167" s="5" t="n"/>
      <c r="F167" s="5" t="n"/>
      <c r="G167" s="5">
        <f>IFERROR(VLOOKUP(F167,DM_Mon_GDPT2018!$A$3:$G$20,2,FALSE),"")</f>
        <v/>
      </c>
      <c r="H167" s="5">
        <f>IFERROR(VLOOKUP(F167,DM_Mon_GDPT2018!$A$3:$G$20,3,FALSE),"")</f>
        <v/>
      </c>
      <c r="I167" s="5">
        <f>IFERROR(VLOOKUP(F167,DM_Mon_GDPT2018!$A$3:$G$20,5,FALSE),"")</f>
        <v/>
      </c>
      <c r="J167" s="6">
        <f>IF($I167="","",ROUND($I167*Huong_dan!$B$7/Huong_dan!$B$9,0))</f>
        <v/>
      </c>
      <c r="K167" s="6">
        <f>IF($I167="","",$I167-$J167)</f>
        <v/>
      </c>
      <c r="L167" s="6" t="n"/>
      <c r="M167" s="6">
        <f>IFERROR(VLOOKUP(L167,DM_Giao_vien!$A$3:$H$102,2,FALSE),"")</f>
        <v/>
      </c>
      <c r="N167" s="6">
        <f>IFERROR(VLOOKUP(L167,DM_Giao_vien!$A$3:$H$102,8,FALSE),"")</f>
        <v/>
      </c>
      <c r="O167" s="6" t="n"/>
      <c r="P167" s="6">
        <f>IFERROR(VLOOKUP(O167,DM_Giao_vien!$A$3:$H$102,2,FALSE),"")</f>
        <v/>
      </c>
      <c r="Q167" s="6">
        <f>IFERROR(VLOOKUP(O167,DM_Giao_vien!$A$3:$H$102,8,FALSE),"")</f>
        <v/>
      </c>
      <c r="R167" s="6" t="n"/>
    </row>
    <row r="168">
      <c r="A168" s="5" t="n">
        <v>166</v>
      </c>
      <c r="B168" s="6">
        <f>IF(D168="","",Huong_dan!$B$6)</f>
        <v/>
      </c>
      <c r="C168" s="5" t="n"/>
      <c r="D168" s="5" t="n"/>
      <c r="E168" s="5" t="n"/>
      <c r="F168" s="5" t="n"/>
      <c r="G168" s="5">
        <f>IFERROR(VLOOKUP(F168,DM_Mon_GDPT2018!$A$3:$G$20,2,FALSE),"")</f>
        <v/>
      </c>
      <c r="H168" s="5">
        <f>IFERROR(VLOOKUP(F168,DM_Mon_GDPT2018!$A$3:$G$20,3,FALSE),"")</f>
        <v/>
      </c>
      <c r="I168" s="5">
        <f>IFERROR(VLOOKUP(F168,DM_Mon_GDPT2018!$A$3:$G$20,5,FALSE),"")</f>
        <v/>
      </c>
      <c r="J168" s="6">
        <f>IF($I168="","",ROUND($I168*Huong_dan!$B$7/Huong_dan!$B$9,0))</f>
        <v/>
      </c>
      <c r="K168" s="6">
        <f>IF($I168="","",$I168-$J168)</f>
        <v/>
      </c>
      <c r="L168" s="6" t="n"/>
      <c r="M168" s="6">
        <f>IFERROR(VLOOKUP(L168,DM_Giao_vien!$A$3:$H$102,2,FALSE),"")</f>
        <v/>
      </c>
      <c r="N168" s="6">
        <f>IFERROR(VLOOKUP(L168,DM_Giao_vien!$A$3:$H$102,8,FALSE),"")</f>
        <v/>
      </c>
      <c r="O168" s="6" t="n"/>
      <c r="P168" s="6">
        <f>IFERROR(VLOOKUP(O168,DM_Giao_vien!$A$3:$H$102,2,FALSE),"")</f>
        <v/>
      </c>
      <c r="Q168" s="6">
        <f>IFERROR(VLOOKUP(O168,DM_Giao_vien!$A$3:$H$102,8,FALSE),"")</f>
        <v/>
      </c>
      <c r="R168" s="6" t="n"/>
    </row>
    <row r="169">
      <c r="A169" s="5" t="n">
        <v>167</v>
      </c>
      <c r="B169" s="6">
        <f>IF(D169="","",Huong_dan!$B$6)</f>
        <v/>
      </c>
      <c r="C169" s="5" t="n"/>
      <c r="D169" s="5" t="n"/>
      <c r="E169" s="5" t="n"/>
      <c r="F169" s="5" t="n"/>
      <c r="G169" s="5">
        <f>IFERROR(VLOOKUP(F169,DM_Mon_GDPT2018!$A$3:$G$20,2,FALSE),"")</f>
        <v/>
      </c>
      <c r="H169" s="5">
        <f>IFERROR(VLOOKUP(F169,DM_Mon_GDPT2018!$A$3:$G$20,3,FALSE),"")</f>
        <v/>
      </c>
      <c r="I169" s="5">
        <f>IFERROR(VLOOKUP(F169,DM_Mon_GDPT2018!$A$3:$G$20,5,FALSE),"")</f>
        <v/>
      </c>
      <c r="J169" s="6">
        <f>IF($I169="","",ROUND($I169*Huong_dan!$B$7/Huong_dan!$B$9,0))</f>
        <v/>
      </c>
      <c r="K169" s="6">
        <f>IF($I169="","",$I169-$J169)</f>
        <v/>
      </c>
      <c r="L169" s="6" t="n"/>
      <c r="M169" s="6">
        <f>IFERROR(VLOOKUP(L169,DM_Giao_vien!$A$3:$H$102,2,FALSE),"")</f>
        <v/>
      </c>
      <c r="N169" s="6">
        <f>IFERROR(VLOOKUP(L169,DM_Giao_vien!$A$3:$H$102,8,FALSE),"")</f>
        <v/>
      </c>
      <c r="O169" s="6" t="n"/>
      <c r="P169" s="6">
        <f>IFERROR(VLOOKUP(O169,DM_Giao_vien!$A$3:$H$102,2,FALSE),"")</f>
        <v/>
      </c>
      <c r="Q169" s="6">
        <f>IFERROR(VLOOKUP(O169,DM_Giao_vien!$A$3:$H$102,8,FALSE),"")</f>
        <v/>
      </c>
      <c r="R169" s="6" t="n"/>
    </row>
    <row r="170">
      <c r="A170" s="5" t="n">
        <v>168</v>
      </c>
      <c r="B170" s="6">
        <f>IF(D170="","",Huong_dan!$B$6)</f>
        <v/>
      </c>
      <c r="C170" s="5" t="n"/>
      <c r="D170" s="5" t="n"/>
      <c r="E170" s="5" t="n"/>
      <c r="F170" s="5" t="n"/>
      <c r="G170" s="5">
        <f>IFERROR(VLOOKUP(F170,DM_Mon_GDPT2018!$A$3:$G$20,2,FALSE),"")</f>
        <v/>
      </c>
      <c r="H170" s="5">
        <f>IFERROR(VLOOKUP(F170,DM_Mon_GDPT2018!$A$3:$G$20,3,FALSE),"")</f>
        <v/>
      </c>
      <c r="I170" s="5">
        <f>IFERROR(VLOOKUP(F170,DM_Mon_GDPT2018!$A$3:$G$20,5,FALSE),"")</f>
        <v/>
      </c>
      <c r="J170" s="6">
        <f>IF($I170="","",ROUND($I170*Huong_dan!$B$7/Huong_dan!$B$9,0))</f>
        <v/>
      </c>
      <c r="K170" s="6">
        <f>IF($I170="","",$I170-$J170)</f>
        <v/>
      </c>
      <c r="L170" s="6" t="n"/>
      <c r="M170" s="6">
        <f>IFERROR(VLOOKUP(L170,DM_Giao_vien!$A$3:$H$102,2,FALSE),"")</f>
        <v/>
      </c>
      <c r="N170" s="6">
        <f>IFERROR(VLOOKUP(L170,DM_Giao_vien!$A$3:$H$102,8,FALSE),"")</f>
        <v/>
      </c>
      <c r="O170" s="6" t="n"/>
      <c r="P170" s="6">
        <f>IFERROR(VLOOKUP(O170,DM_Giao_vien!$A$3:$H$102,2,FALSE),"")</f>
        <v/>
      </c>
      <c r="Q170" s="6">
        <f>IFERROR(VLOOKUP(O170,DM_Giao_vien!$A$3:$H$102,8,FALSE),"")</f>
        <v/>
      </c>
      <c r="R170" s="6" t="n"/>
    </row>
    <row r="171">
      <c r="A171" s="5" t="n">
        <v>169</v>
      </c>
      <c r="B171" s="6">
        <f>IF(D171="","",Huong_dan!$B$6)</f>
        <v/>
      </c>
      <c r="C171" s="5" t="n"/>
      <c r="D171" s="5" t="n"/>
      <c r="E171" s="5" t="n"/>
      <c r="F171" s="5" t="n"/>
      <c r="G171" s="5">
        <f>IFERROR(VLOOKUP(F171,DM_Mon_GDPT2018!$A$3:$G$20,2,FALSE),"")</f>
        <v/>
      </c>
      <c r="H171" s="5">
        <f>IFERROR(VLOOKUP(F171,DM_Mon_GDPT2018!$A$3:$G$20,3,FALSE),"")</f>
        <v/>
      </c>
      <c r="I171" s="5">
        <f>IFERROR(VLOOKUP(F171,DM_Mon_GDPT2018!$A$3:$G$20,5,FALSE),"")</f>
        <v/>
      </c>
      <c r="J171" s="6">
        <f>IF($I171="","",ROUND($I171*Huong_dan!$B$7/Huong_dan!$B$9,0))</f>
        <v/>
      </c>
      <c r="K171" s="6">
        <f>IF($I171="","",$I171-$J171)</f>
        <v/>
      </c>
      <c r="L171" s="6" t="n"/>
      <c r="M171" s="6">
        <f>IFERROR(VLOOKUP(L171,DM_Giao_vien!$A$3:$H$102,2,FALSE),"")</f>
        <v/>
      </c>
      <c r="N171" s="6">
        <f>IFERROR(VLOOKUP(L171,DM_Giao_vien!$A$3:$H$102,8,FALSE),"")</f>
        <v/>
      </c>
      <c r="O171" s="6" t="n"/>
      <c r="P171" s="6">
        <f>IFERROR(VLOOKUP(O171,DM_Giao_vien!$A$3:$H$102,2,FALSE),"")</f>
        <v/>
      </c>
      <c r="Q171" s="6">
        <f>IFERROR(VLOOKUP(O171,DM_Giao_vien!$A$3:$H$102,8,FALSE),"")</f>
        <v/>
      </c>
      <c r="R171" s="6" t="n"/>
    </row>
    <row r="172">
      <c r="A172" s="5" t="n">
        <v>170</v>
      </c>
      <c r="B172" s="6">
        <f>IF(D172="","",Huong_dan!$B$6)</f>
        <v/>
      </c>
      <c r="C172" s="5" t="n"/>
      <c r="D172" s="5" t="n"/>
      <c r="E172" s="5" t="n"/>
      <c r="F172" s="5" t="n"/>
      <c r="G172" s="5">
        <f>IFERROR(VLOOKUP(F172,DM_Mon_GDPT2018!$A$3:$G$20,2,FALSE),"")</f>
        <v/>
      </c>
      <c r="H172" s="5">
        <f>IFERROR(VLOOKUP(F172,DM_Mon_GDPT2018!$A$3:$G$20,3,FALSE),"")</f>
        <v/>
      </c>
      <c r="I172" s="5">
        <f>IFERROR(VLOOKUP(F172,DM_Mon_GDPT2018!$A$3:$G$20,5,FALSE),"")</f>
        <v/>
      </c>
      <c r="J172" s="6">
        <f>IF($I172="","",ROUND($I172*Huong_dan!$B$7/Huong_dan!$B$9,0))</f>
        <v/>
      </c>
      <c r="K172" s="6">
        <f>IF($I172="","",$I172-$J172)</f>
        <v/>
      </c>
      <c r="L172" s="6" t="n"/>
      <c r="M172" s="6">
        <f>IFERROR(VLOOKUP(L172,DM_Giao_vien!$A$3:$H$102,2,FALSE),"")</f>
        <v/>
      </c>
      <c r="N172" s="6">
        <f>IFERROR(VLOOKUP(L172,DM_Giao_vien!$A$3:$H$102,8,FALSE),"")</f>
        <v/>
      </c>
      <c r="O172" s="6" t="n"/>
      <c r="P172" s="6">
        <f>IFERROR(VLOOKUP(O172,DM_Giao_vien!$A$3:$H$102,2,FALSE),"")</f>
        <v/>
      </c>
      <c r="Q172" s="6">
        <f>IFERROR(VLOOKUP(O172,DM_Giao_vien!$A$3:$H$102,8,FALSE),"")</f>
        <v/>
      </c>
      <c r="R172" s="6" t="n"/>
    </row>
    <row r="173">
      <c r="A173" s="5" t="n">
        <v>171</v>
      </c>
      <c r="B173" s="6">
        <f>IF(D173="","",Huong_dan!$B$6)</f>
        <v/>
      </c>
      <c r="C173" s="5" t="n"/>
      <c r="D173" s="5" t="n"/>
      <c r="E173" s="5" t="n"/>
      <c r="F173" s="5" t="n"/>
      <c r="G173" s="5">
        <f>IFERROR(VLOOKUP(F173,DM_Mon_GDPT2018!$A$3:$G$20,2,FALSE),"")</f>
        <v/>
      </c>
      <c r="H173" s="5">
        <f>IFERROR(VLOOKUP(F173,DM_Mon_GDPT2018!$A$3:$G$20,3,FALSE),"")</f>
        <v/>
      </c>
      <c r="I173" s="5">
        <f>IFERROR(VLOOKUP(F173,DM_Mon_GDPT2018!$A$3:$G$20,5,FALSE),"")</f>
        <v/>
      </c>
      <c r="J173" s="6">
        <f>IF($I173="","",ROUND($I173*Huong_dan!$B$7/Huong_dan!$B$9,0))</f>
        <v/>
      </c>
      <c r="K173" s="6">
        <f>IF($I173="","",$I173-$J173)</f>
        <v/>
      </c>
      <c r="L173" s="6" t="n"/>
      <c r="M173" s="6">
        <f>IFERROR(VLOOKUP(L173,DM_Giao_vien!$A$3:$H$102,2,FALSE),"")</f>
        <v/>
      </c>
      <c r="N173" s="6">
        <f>IFERROR(VLOOKUP(L173,DM_Giao_vien!$A$3:$H$102,8,FALSE),"")</f>
        <v/>
      </c>
      <c r="O173" s="6" t="n"/>
      <c r="P173" s="6">
        <f>IFERROR(VLOOKUP(O173,DM_Giao_vien!$A$3:$H$102,2,FALSE),"")</f>
        <v/>
      </c>
      <c r="Q173" s="6">
        <f>IFERROR(VLOOKUP(O173,DM_Giao_vien!$A$3:$H$102,8,FALSE),"")</f>
        <v/>
      </c>
      <c r="R173" s="6" t="n"/>
    </row>
    <row r="174">
      <c r="A174" s="5" t="n">
        <v>172</v>
      </c>
      <c r="B174" s="6">
        <f>IF(D174="","",Huong_dan!$B$6)</f>
        <v/>
      </c>
      <c r="C174" s="5" t="n"/>
      <c r="D174" s="5" t="n"/>
      <c r="E174" s="5" t="n"/>
      <c r="F174" s="5" t="n"/>
      <c r="G174" s="5">
        <f>IFERROR(VLOOKUP(F174,DM_Mon_GDPT2018!$A$3:$G$20,2,FALSE),"")</f>
        <v/>
      </c>
      <c r="H174" s="5">
        <f>IFERROR(VLOOKUP(F174,DM_Mon_GDPT2018!$A$3:$G$20,3,FALSE),"")</f>
        <v/>
      </c>
      <c r="I174" s="5">
        <f>IFERROR(VLOOKUP(F174,DM_Mon_GDPT2018!$A$3:$G$20,5,FALSE),"")</f>
        <v/>
      </c>
      <c r="J174" s="6">
        <f>IF($I174="","",ROUND($I174*Huong_dan!$B$7/Huong_dan!$B$9,0))</f>
        <v/>
      </c>
      <c r="K174" s="6">
        <f>IF($I174="","",$I174-$J174)</f>
        <v/>
      </c>
      <c r="L174" s="6" t="n"/>
      <c r="M174" s="6">
        <f>IFERROR(VLOOKUP(L174,DM_Giao_vien!$A$3:$H$102,2,FALSE),"")</f>
        <v/>
      </c>
      <c r="N174" s="6">
        <f>IFERROR(VLOOKUP(L174,DM_Giao_vien!$A$3:$H$102,8,FALSE),"")</f>
        <v/>
      </c>
      <c r="O174" s="6" t="n"/>
      <c r="P174" s="6">
        <f>IFERROR(VLOOKUP(O174,DM_Giao_vien!$A$3:$H$102,2,FALSE),"")</f>
        <v/>
      </c>
      <c r="Q174" s="6">
        <f>IFERROR(VLOOKUP(O174,DM_Giao_vien!$A$3:$H$102,8,FALSE),"")</f>
        <v/>
      </c>
      <c r="R174" s="6" t="n"/>
    </row>
    <row r="175">
      <c r="A175" s="5" t="n">
        <v>173</v>
      </c>
      <c r="B175" s="6">
        <f>IF(D175="","",Huong_dan!$B$6)</f>
        <v/>
      </c>
      <c r="C175" s="5" t="n"/>
      <c r="D175" s="5" t="n"/>
      <c r="E175" s="5" t="n"/>
      <c r="F175" s="5" t="n"/>
      <c r="G175" s="5">
        <f>IFERROR(VLOOKUP(F175,DM_Mon_GDPT2018!$A$3:$G$20,2,FALSE),"")</f>
        <v/>
      </c>
      <c r="H175" s="5">
        <f>IFERROR(VLOOKUP(F175,DM_Mon_GDPT2018!$A$3:$G$20,3,FALSE),"")</f>
        <v/>
      </c>
      <c r="I175" s="5">
        <f>IFERROR(VLOOKUP(F175,DM_Mon_GDPT2018!$A$3:$G$20,5,FALSE),"")</f>
        <v/>
      </c>
      <c r="J175" s="6">
        <f>IF($I175="","",ROUND($I175*Huong_dan!$B$7/Huong_dan!$B$9,0))</f>
        <v/>
      </c>
      <c r="K175" s="6">
        <f>IF($I175="","",$I175-$J175)</f>
        <v/>
      </c>
      <c r="L175" s="6" t="n"/>
      <c r="M175" s="6">
        <f>IFERROR(VLOOKUP(L175,DM_Giao_vien!$A$3:$H$102,2,FALSE),"")</f>
        <v/>
      </c>
      <c r="N175" s="6">
        <f>IFERROR(VLOOKUP(L175,DM_Giao_vien!$A$3:$H$102,8,FALSE),"")</f>
        <v/>
      </c>
      <c r="O175" s="6" t="n"/>
      <c r="P175" s="6">
        <f>IFERROR(VLOOKUP(O175,DM_Giao_vien!$A$3:$H$102,2,FALSE),"")</f>
        <v/>
      </c>
      <c r="Q175" s="6">
        <f>IFERROR(VLOOKUP(O175,DM_Giao_vien!$A$3:$H$102,8,FALSE),"")</f>
        <v/>
      </c>
      <c r="R175" s="6" t="n"/>
    </row>
    <row r="176">
      <c r="A176" s="5" t="n">
        <v>174</v>
      </c>
      <c r="B176" s="6">
        <f>IF(D176="","",Huong_dan!$B$6)</f>
        <v/>
      </c>
      <c r="C176" s="5" t="n"/>
      <c r="D176" s="5" t="n"/>
      <c r="E176" s="5" t="n"/>
      <c r="F176" s="5" t="n"/>
      <c r="G176" s="5">
        <f>IFERROR(VLOOKUP(F176,DM_Mon_GDPT2018!$A$3:$G$20,2,FALSE),"")</f>
        <v/>
      </c>
      <c r="H176" s="5">
        <f>IFERROR(VLOOKUP(F176,DM_Mon_GDPT2018!$A$3:$G$20,3,FALSE),"")</f>
        <v/>
      </c>
      <c r="I176" s="5">
        <f>IFERROR(VLOOKUP(F176,DM_Mon_GDPT2018!$A$3:$G$20,5,FALSE),"")</f>
        <v/>
      </c>
      <c r="J176" s="6">
        <f>IF($I176="","",ROUND($I176*Huong_dan!$B$7/Huong_dan!$B$9,0))</f>
        <v/>
      </c>
      <c r="K176" s="6">
        <f>IF($I176="","",$I176-$J176)</f>
        <v/>
      </c>
      <c r="L176" s="6" t="n"/>
      <c r="M176" s="6">
        <f>IFERROR(VLOOKUP(L176,DM_Giao_vien!$A$3:$H$102,2,FALSE),"")</f>
        <v/>
      </c>
      <c r="N176" s="6">
        <f>IFERROR(VLOOKUP(L176,DM_Giao_vien!$A$3:$H$102,8,FALSE),"")</f>
        <v/>
      </c>
      <c r="O176" s="6" t="n"/>
      <c r="P176" s="6">
        <f>IFERROR(VLOOKUP(O176,DM_Giao_vien!$A$3:$H$102,2,FALSE),"")</f>
        <v/>
      </c>
      <c r="Q176" s="6">
        <f>IFERROR(VLOOKUP(O176,DM_Giao_vien!$A$3:$H$102,8,FALSE),"")</f>
        <v/>
      </c>
      <c r="R176" s="6" t="n"/>
    </row>
    <row r="177">
      <c r="A177" s="5" t="n">
        <v>175</v>
      </c>
      <c r="B177" s="6">
        <f>IF(D177="","",Huong_dan!$B$6)</f>
        <v/>
      </c>
      <c r="C177" s="5" t="n"/>
      <c r="D177" s="5" t="n"/>
      <c r="E177" s="5" t="n"/>
      <c r="F177" s="5" t="n"/>
      <c r="G177" s="5">
        <f>IFERROR(VLOOKUP(F177,DM_Mon_GDPT2018!$A$3:$G$20,2,FALSE),"")</f>
        <v/>
      </c>
      <c r="H177" s="5">
        <f>IFERROR(VLOOKUP(F177,DM_Mon_GDPT2018!$A$3:$G$20,3,FALSE),"")</f>
        <v/>
      </c>
      <c r="I177" s="5">
        <f>IFERROR(VLOOKUP(F177,DM_Mon_GDPT2018!$A$3:$G$20,5,FALSE),"")</f>
        <v/>
      </c>
      <c r="J177" s="6">
        <f>IF($I177="","",ROUND($I177*Huong_dan!$B$7/Huong_dan!$B$9,0))</f>
        <v/>
      </c>
      <c r="K177" s="6">
        <f>IF($I177="","",$I177-$J177)</f>
        <v/>
      </c>
      <c r="L177" s="6" t="n"/>
      <c r="M177" s="6">
        <f>IFERROR(VLOOKUP(L177,DM_Giao_vien!$A$3:$H$102,2,FALSE),"")</f>
        <v/>
      </c>
      <c r="N177" s="6">
        <f>IFERROR(VLOOKUP(L177,DM_Giao_vien!$A$3:$H$102,8,FALSE),"")</f>
        <v/>
      </c>
      <c r="O177" s="6" t="n"/>
      <c r="P177" s="6">
        <f>IFERROR(VLOOKUP(O177,DM_Giao_vien!$A$3:$H$102,2,FALSE),"")</f>
        <v/>
      </c>
      <c r="Q177" s="6">
        <f>IFERROR(VLOOKUP(O177,DM_Giao_vien!$A$3:$H$102,8,FALSE),"")</f>
        <v/>
      </c>
      <c r="R177" s="6" t="n"/>
    </row>
    <row r="178">
      <c r="A178" s="5" t="n">
        <v>176</v>
      </c>
      <c r="B178" s="6">
        <f>IF(D178="","",Huong_dan!$B$6)</f>
        <v/>
      </c>
      <c r="C178" s="5" t="n"/>
      <c r="D178" s="5" t="n"/>
      <c r="E178" s="5" t="n"/>
      <c r="F178" s="5" t="n"/>
      <c r="G178" s="5">
        <f>IFERROR(VLOOKUP(F178,DM_Mon_GDPT2018!$A$3:$G$20,2,FALSE),"")</f>
        <v/>
      </c>
      <c r="H178" s="5">
        <f>IFERROR(VLOOKUP(F178,DM_Mon_GDPT2018!$A$3:$G$20,3,FALSE),"")</f>
        <v/>
      </c>
      <c r="I178" s="5">
        <f>IFERROR(VLOOKUP(F178,DM_Mon_GDPT2018!$A$3:$G$20,5,FALSE),"")</f>
        <v/>
      </c>
      <c r="J178" s="6">
        <f>IF($I178="","",ROUND($I178*Huong_dan!$B$7/Huong_dan!$B$9,0))</f>
        <v/>
      </c>
      <c r="K178" s="6">
        <f>IF($I178="","",$I178-$J178)</f>
        <v/>
      </c>
      <c r="L178" s="6" t="n"/>
      <c r="M178" s="6">
        <f>IFERROR(VLOOKUP(L178,DM_Giao_vien!$A$3:$H$102,2,FALSE),"")</f>
        <v/>
      </c>
      <c r="N178" s="6">
        <f>IFERROR(VLOOKUP(L178,DM_Giao_vien!$A$3:$H$102,8,FALSE),"")</f>
        <v/>
      </c>
      <c r="O178" s="6" t="n"/>
      <c r="P178" s="6">
        <f>IFERROR(VLOOKUP(O178,DM_Giao_vien!$A$3:$H$102,2,FALSE),"")</f>
        <v/>
      </c>
      <c r="Q178" s="6">
        <f>IFERROR(VLOOKUP(O178,DM_Giao_vien!$A$3:$H$102,8,FALSE),"")</f>
        <v/>
      </c>
      <c r="R178" s="6" t="n"/>
    </row>
    <row r="179">
      <c r="A179" s="5" t="n">
        <v>177</v>
      </c>
      <c r="B179" s="6">
        <f>IF(D179="","",Huong_dan!$B$6)</f>
        <v/>
      </c>
      <c r="C179" s="5" t="n"/>
      <c r="D179" s="5" t="n"/>
      <c r="E179" s="5" t="n"/>
      <c r="F179" s="5" t="n"/>
      <c r="G179" s="5">
        <f>IFERROR(VLOOKUP(F179,DM_Mon_GDPT2018!$A$3:$G$20,2,FALSE),"")</f>
        <v/>
      </c>
      <c r="H179" s="5">
        <f>IFERROR(VLOOKUP(F179,DM_Mon_GDPT2018!$A$3:$G$20,3,FALSE),"")</f>
        <v/>
      </c>
      <c r="I179" s="5">
        <f>IFERROR(VLOOKUP(F179,DM_Mon_GDPT2018!$A$3:$G$20,5,FALSE),"")</f>
        <v/>
      </c>
      <c r="J179" s="6">
        <f>IF($I179="","",ROUND($I179*Huong_dan!$B$7/Huong_dan!$B$9,0))</f>
        <v/>
      </c>
      <c r="K179" s="6">
        <f>IF($I179="","",$I179-$J179)</f>
        <v/>
      </c>
      <c r="L179" s="6" t="n"/>
      <c r="M179" s="6">
        <f>IFERROR(VLOOKUP(L179,DM_Giao_vien!$A$3:$H$102,2,FALSE),"")</f>
        <v/>
      </c>
      <c r="N179" s="6">
        <f>IFERROR(VLOOKUP(L179,DM_Giao_vien!$A$3:$H$102,8,FALSE),"")</f>
        <v/>
      </c>
      <c r="O179" s="6" t="n"/>
      <c r="P179" s="6">
        <f>IFERROR(VLOOKUP(O179,DM_Giao_vien!$A$3:$H$102,2,FALSE),"")</f>
        <v/>
      </c>
      <c r="Q179" s="6">
        <f>IFERROR(VLOOKUP(O179,DM_Giao_vien!$A$3:$H$102,8,FALSE),"")</f>
        <v/>
      </c>
      <c r="R179" s="6" t="n"/>
    </row>
    <row r="180">
      <c r="A180" s="5" t="n">
        <v>178</v>
      </c>
      <c r="B180" s="6">
        <f>IF(D180="","",Huong_dan!$B$6)</f>
        <v/>
      </c>
      <c r="C180" s="5" t="n"/>
      <c r="D180" s="5" t="n"/>
      <c r="E180" s="5" t="n"/>
      <c r="F180" s="5" t="n"/>
      <c r="G180" s="5">
        <f>IFERROR(VLOOKUP(F180,DM_Mon_GDPT2018!$A$3:$G$20,2,FALSE),"")</f>
        <v/>
      </c>
      <c r="H180" s="5">
        <f>IFERROR(VLOOKUP(F180,DM_Mon_GDPT2018!$A$3:$G$20,3,FALSE),"")</f>
        <v/>
      </c>
      <c r="I180" s="5">
        <f>IFERROR(VLOOKUP(F180,DM_Mon_GDPT2018!$A$3:$G$20,5,FALSE),"")</f>
        <v/>
      </c>
      <c r="J180" s="6">
        <f>IF($I180="","",ROUND($I180*Huong_dan!$B$7/Huong_dan!$B$9,0))</f>
        <v/>
      </c>
      <c r="K180" s="6">
        <f>IF($I180="","",$I180-$J180)</f>
        <v/>
      </c>
      <c r="L180" s="6" t="n"/>
      <c r="M180" s="6">
        <f>IFERROR(VLOOKUP(L180,DM_Giao_vien!$A$3:$H$102,2,FALSE),"")</f>
        <v/>
      </c>
      <c r="N180" s="6">
        <f>IFERROR(VLOOKUP(L180,DM_Giao_vien!$A$3:$H$102,8,FALSE),"")</f>
        <v/>
      </c>
      <c r="O180" s="6" t="n"/>
      <c r="P180" s="6">
        <f>IFERROR(VLOOKUP(O180,DM_Giao_vien!$A$3:$H$102,2,FALSE),"")</f>
        <v/>
      </c>
      <c r="Q180" s="6">
        <f>IFERROR(VLOOKUP(O180,DM_Giao_vien!$A$3:$H$102,8,FALSE),"")</f>
        <v/>
      </c>
      <c r="R180" s="6" t="n"/>
    </row>
    <row r="181">
      <c r="A181" s="5" t="n">
        <v>179</v>
      </c>
      <c r="B181" s="6">
        <f>IF(D181="","",Huong_dan!$B$6)</f>
        <v/>
      </c>
      <c r="C181" s="5" t="n"/>
      <c r="D181" s="5" t="n"/>
      <c r="E181" s="5" t="n"/>
      <c r="F181" s="5" t="n"/>
      <c r="G181" s="5">
        <f>IFERROR(VLOOKUP(F181,DM_Mon_GDPT2018!$A$3:$G$20,2,FALSE),"")</f>
        <v/>
      </c>
      <c r="H181" s="5">
        <f>IFERROR(VLOOKUP(F181,DM_Mon_GDPT2018!$A$3:$G$20,3,FALSE),"")</f>
        <v/>
      </c>
      <c r="I181" s="5">
        <f>IFERROR(VLOOKUP(F181,DM_Mon_GDPT2018!$A$3:$G$20,5,FALSE),"")</f>
        <v/>
      </c>
      <c r="J181" s="6">
        <f>IF($I181="","",ROUND($I181*Huong_dan!$B$7/Huong_dan!$B$9,0))</f>
        <v/>
      </c>
      <c r="K181" s="6">
        <f>IF($I181="","",$I181-$J181)</f>
        <v/>
      </c>
      <c r="L181" s="6" t="n"/>
      <c r="M181" s="6">
        <f>IFERROR(VLOOKUP(L181,DM_Giao_vien!$A$3:$H$102,2,FALSE),"")</f>
        <v/>
      </c>
      <c r="N181" s="6">
        <f>IFERROR(VLOOKUP(L181,DM_Giao_vien!$A$3:$H$102,8,FALSE),"")</f>
        <v/>
      </c>
      <c r="O181" s="6" t="n"/>
      <c r="P181" s="6">
        <f>IFERROR(VLOOKUP(O181,DM_Giao_vien!$A$3:$H$102,2,FALSE),"")</f>
        <v/>
      </c>
      <c r="Q181" s="6">
        <f>IFERROR(VLOOKUP(O181,DM_Giao_vien!$A$3:$H$102,8,FALSE),"")</f>
        <v/>
      </c>
      <c r="R181" s="6" t="n"/>
    </row>
    <row r="182">
      <c r="A182" s="5" t="n">
        <v>180</v>
      </c>
      <c r="B182" s="6">
        <f>IF(D182="","",Huong_dan!$B$6)</f>
        <v/>
      </c>
      <c r="C182" s="5" t="n"/>
      <c r="D182" s="5" t="n"/>
      <c r="E182" s="5" t="n"/>
      <c r="F182" s="5" t="n"/>
      <c r="G182" s="5">
        <f>IFERROR(VLOOKUP(F182,DM_Mon_GDPT2018!$A$3:$G$20,2,FALSE),"")</f>
        <v/>
      </c>
      <c r="H182" s="5">
        <f>IFERROR(VLOOKUP(F182,DM_Mon_GDPT2018!$A$3:$G$20,3,FALSE),"")</f>
        <v/>
      </c>
      <c r="I182" s="5">
        <f>IFERROR(VLOOKUP(F182,DM_Mon_GDPT2018!$A$3:$G$20,5,FALSE),"")</f>
        <v/>
      </c>
      <c r="J182" s="6">
        <f>IF($I182="","",ROUND($I182*Huong_dan!$B$7/Huong_dan!$B$9,0))</f>
        <v/>
      </c>
      <c r="K182" s="6">
        <f>IF($I182="","",$I182-$J182)</f>
        <v/>
      </c>
      <c r="L182" s="6" t="n"/>
      <c r="M182" s="6">
        <f>IFERROR(VLOOKUP(L182,DM_Giao_vien!$A$3:$H$102,2,FALSE),"")</f>
        <v/>
      </c>
      <c r="N182" s="6">
        <f>IFERROR(VLOOKUP(L182,DM_Giao_vien!$A$3:$H$102,8,FALSE),"")</f>
        <v/>
      </c>
      <c r="O182" s="6" t="n"/>
      <c r="P182" s="6">
        <f>IFERROR(VLOOKUP(O182,DM_Giao_vien!$A$3:$H$102,2,FALSE),"")</f>
        <v/>
      </c>
      <c r="Q182" s="6">
        <f>IFERROR(VLOOKUP(O182,DM_Giao_vien!$A$3:$H$102,8,FALSE),"")</f>
        <v/>
      </c>
      <c r="R182" s="6" t="n"/>
    </row>
    <row r="183">
      <c r="A183" s="5" t="n">
        <v>181</v>
      </c>
      <c r="B183" s="6">
        <f>IF(D183="","",Huong_dan!$B$6)</f>
        <v/>
      </c>
      <c r="C183" s="5" t="n"/>
      <c r="D183" s="5" t="n"/>
      <c r="E183" s="5" t="n"/>
      <c r="F183" s="5" t="n"/>
      <c r="G183" s="5">
        <f>IFERROR(VLOOKUP(F183,DM_Mon_GDPT2018!$A$3:$G$20,2,FALSE),"")</f>
        <v/>
      </c>
      <c r="H183" s="5">
        <f>IFERROR(VLOOKUP(F183,DM_Mon_GDPT2018!$A$3:$G$20,3,FALSE),"")</f>
        <v/>
      </c>
      <c r="I183" s="5">
        <f>IFERROR(VLOOKUP(F183,DM_Mon_GDPT2018!$A$3:$G$20,5,FALSE),"")</f>
        <v/>
      </c>
      <c r="J183" s="6">
        <f>IF($I183="","",ROUND($I183*Huong_dan!$B$7/Huong_dan!$B$9,0))</f>
        <v/>
      </c>
      <c r="K183" s="6">
        <f>IF($I183="","",$I183-$J183)</f>
        <v/>
      </c>
      <c r="L183" s="6" t="n"/>
      <c r="M183" s="6">
        <f>IFERROR(VLOOKUP(L183,DM_Giao_vien!$A$3:$H$102,2,FALSE),"")</f>
        <v/>
      </c>
      <c r="N183" s="6">
        <f>IFERROR(VLOOKUP(L183,DM_Giao_vien!$A$3:$H$102,8,FALSE),"")</f>
        <v/>
      </c>
      <c r="O183" s="6" t="n"/>
      <c r="P183" s="6">
        <f>IFERROR(VLOOKUP(O183,DM_Giao_vien!$A$3:$H$102,2,FALSE),"")</f>
        <v/>
      </c>
      <c r="Q183" s="6">
        <f>IFERROR(VLOOKUP(O183,DM_Giao_vien!$A$3:$H$102,8,FALSE),"")</f>
        <v/>
      </c>
      <c r="R183" s="6" t="n"/>
    </row>
    <row r="184">
      <c r="A184" s="5" t="n">
        <v>182</v>
      </c>
      <c r="B184" s="6">
        <f>IF(D184="","",Huong_dan!$B$6)</f>
        <v/>
      </c>
      <c r="C184" s="5" t="n"/>
      <c r="D184" s="5" t="n"/>
      <c r="E184" s="5" t="n"/>
      <c r="F184" s="5" t="n"/>
      <c r="G184" s="5">
        <f>IFERROR(VLOOKUP(F184,DM_Mon_GDPT2018!$A$3:$G$20,2,FALSE),"")</f>
        <v/>
      </c>
      <c r="H184" s="5">
        <f>IFERROR(VLOOKUP(F184,DM_Mon_GDPT2018!$A$3:$G$20,3,FALSE),"")</f>
        <v/>
      </c>
      <c r="I184" s="5">
        <f>IFERROR(VLOOKUP(F184,DM_Mon_GDPT2018!$A$3:$G$20,5,FALSE),"")</f>
        <v/>
      </c>
      <c r="J184" s="6">
        <f>IF($I184="","",ROUND($I184*Huong_dan!$B$7/Huong_dan!$B$9,0))</f>
        <v/>
      </c>
      <c r="K184" s="6">
        <f>IF($I184="","",$I184-$J184)</f>
        <v/>
      </c>
      <c r="L184" s="6" t="n"/>
      <c r="M184" s="6">
        <f>IFERROR(VLOOKUP(L184,DM_Giao_vien!$A$3:$H$102,2,FALSE),"")</f>
        <v/>
      </c>
      <c r="N184" s="6">
        <f>IFERROR(VLOOKUP(L184,DM_Giao_vien!$A$3:$H$102,8,FALSE),"")</f>
        <v/>
      </c>
      <c r="O184" s="6" t="n"/>
      <c r="P184" s="6">
        <f>IFERROR(VLOOKUP(O184,DM_Giao_vien!$A$3:$H$102,2,FALSE),"")</f>
        <v/>
      </c>
      <c r="Q184" s="6">
        <f>IFERROR(VLOOKUP(O184,DM_Giao_vien!$A$3:$H$102,8,FALSE),"")</f>
        <v/>
      </c>
      <c r="R184" s="6" t="n"/>
    </row>
    <row r="185">
      <c r="A185" s="5" t="n">
        <v>183</v>
      </c>
      <c r="B185" s="6">
        <f>IF(D185="","",Huong_dan!$B$6)</f>
        <v/>
      </c>
      <c r="C185" s="5" t="n"/>
      <c r="D185" s="5" t="n"/>
      <c r="E185" s="5" t="n"/>
      <c r="F185" s="5" t="n"/>
      <c r="G185" s="5">
        <f>IFERROR(VLOOKUP(F185,DM_Mon_GDPT2018!$A$3:$G$20,2,FALSE),"")</f>
        <v/>
      </c>
      <c r="H185" s="5">
        <f>IFERROR(VLOOKUP(F185,DM_Mon_GDPT2018!$A$3:$G$20,3,FALSE),"")</f>
        <v/>
      </c>
      <c r="I185" s="5">
        <f>IFERROR(VLOOKUP(F185,DM_Mon_GDPT2018!$A$3:$G$20,5,FALSE),"")</f>
        <v/>
      </c>
      <c r="J185" s="6">
        <f>IF($I185="","",ROUND($I185*Huong_dan!$B$7/Huong_dan!$B$9,0))</f>
        <v/>
      </c>
      <c r="K185" s="6">
        <f>IF($I185="","",$I185-$J185)</f>
        <v/>
      </c>
      <c r="L185" s="6" t="n"/>
      <c r="M185" s="6">
        <f>IFERROR(VLOOKUP(L185,DM_Giao_vien!$A$3:$H$102,2,FALSE),"")</f>
        <v/>
      </c>
      <c r="N185" s="6">
        <f>IFERROR(VLOOKUP(L185,DM_Giao_vien!$A$3:$H$102,8,FALSE),"")</f>
        <v/>
      </c>
      <c r="O185" s="6" t="n"/>
      <c r="P185" s="6">
        <f>IFERROR(VLOOKUP(O185,DM_Giao_vien!$A$3:$H$102,2,FALSE),"")</f>
        <v/>
      </c>
      <c r="Q185" s="6">
        <f>IFERROR(VLOOKUP(O185,DM_Giao_vien!$A$3:$H$102,8,FALSE),"")</f>
        <v/>
      </c>
      <c r="R185" s="6" t="n"/>
    </row>
    <row r="186">
      <c r="A186" s="5" t="n">
        <v>184</v>
      </c>
      <c r="B186" s="6">
        <f>IF(D186="","",Huong_dan!$B$6)</f>
        <v/>
      </c>
      <c r="C186" s="5" t="n"/>
      <c r="D186" s="5" t="n"/>
      <c r="E186" s="5" t="n"/>
      <c r="F186" s="5" t="n"/>
      <c r="G186" s="5">
        <f>IFERROR(VLOOKUP(F186,DM_Mon_GDPT2018!$A$3:$G$20,2,FALSE),"")</f>
        <v/>
      </c>
      <c r="H186" s="5">
        <f>IFERROR(VLOOKUP(F186,DM_Mon_GDPT2018!$A$3:$G$20,3,FALSE),"")</f>
        <v/>
      </c>
      <c r="I186" s="5">
        <f>IFERROR(VLOOKUP(F186,DM_Mon_GDPT2018!$A$3:$G$20,5,FALSE),"")</f>
        <v/>
      </c>
      <c r="J186" s="6">
        <f>IF($I186="","",ROUND($I186*Huong_dan!$B$7/Huong_dan!$B$9,0))</f>
        <v/>
      </c>
      <c r="K186" s="6">
        <f>IF($I186="","",$I186-$J186)</f>
        <v/>
      </c>
      <c r="L186" s="6" t="n"/>
      <c r="M186" s="6">
        <f>IFERROR(VLOOKUP(L186,DM_Giao_vien!$A$3:$H$102,2,FALSE),"")</f>
        <v/>
      </c>
      <c r="N186" s="6">
        <f>IFERROR(VLOOKUP(L186,DM_Giao_vien!$A$3:$H$102,8,FALSE),"")</f>
        <v/>
      </c>
      <c r="O186" s="6" t="n"/>
      <c r="P186" s="6">
        <f>IFERROR(VLOOKUP(O186,DM_Giao_vien!$A$3:$H$102,2,FALSE),"")</f>
        <v/>
      </c>
      <c r="Q186" s="6">
        <f>IFERROR(VLOOKUP(O186,DM_Giao_vien!$A$3:$H$102,8,FALSE),"")</f>
        <v/>
      </c>
      <c r="R186" s="6" t="n"/>
    </row>
    <row r="187">
      <c r="A187" s="5" t="n">
        <v>185</v>
      </c>
      <c r="B187" s="6">
        <f>IF(D187="","",Huong_dan!$B$6)</f>
        <v/>
      </c>
      <c r="C187" s="5" t="n"/>
      <c r="D187" s="5" t="n"/>
      <c r="E187" s="5" t="n"/>
      <c r="F187" s="5" t="n"/>
      <c r="G187" s="5">
        <f>IFERROR(VLOOKUP(F187,DM_Mon_GDPT2018!$A$3:$G$20,2,FALSE),"")</f>
        <v/>
      </c>
      <c r="H187" s="5">
        <f>IFERROR(VLOOKUP(F187,DM_Mon_GDPT2018!$A$3:$G$20,3,FALSE),"")</f>
        <v/>
      </c>
      <c r="I187" s="5">
        <f>IFERROR(VLOOKUP(F187,DM_Mon_GDPT2018!$A$3:$G$20,5,FALSE),"")</f>
        <v/>
      </c>
      <c r="J187" s="6">
        <f>IF($I187="","",ROUND($I187*Huong_dan!$B$7/Huong_dan!$B$9,0))</f>
        <v/>
      </c>
      <c r="K187" s="6">
        <f>IF($I187="","",$I187-$J187)</f>
        <v/>
      </c>
      <c r="L187" s="6" t="n"/>
      <c r="M187" s="6">
        <f>IFERROR(VLOOKUP(L187,DM_Giao_vien!$A$3:$H$102,2,FALSE),"")</f>
        <v/>
      </c>
      <c r="N187" s="6">
        <f>IFERROR(VLOOKUP(L187,DM_Giao_vien!$A$3:$H$102,8,FALSE),"")</f>
        <v/>
      </c>
      <c r="O187" s="6" t="n"/>
      <c r="P187" s="6">
        <f>IFERROR(VLOOKUP(O187,DM_Giao_vien!$A$3:$H$102,2,FALSE),"")</f>
        <v/>
      </c>
      <c r="Q187" s="6">
        <f>IFERROR(VLOOKUP(O187,DM_Giao_vien!$A$3:$H$102,8,FALSE),"")</f>
        <v/>
      </c>
      <c r="R187" s="6" t="n"/>
    </row>
    <row r="188">
      <c r="A188" s="5" t="n">
        <v>186</v>
      </c>
      <c r="B188" s="6">
        <f>IF(D188="","",Huong_dan!$B$6)</f>
        <v/>
      </c>
      <c r="C188" s="5" t="n"/>
      <c r="D188" s="5" t="n"/>
      <c r="E188" s="5" t="n"/>
      <c r="F188" s="5" t="n"/>
      <c r="G188" s="5">
        <f>IFERROR(VLOOKUP(F188,DM_Mon_GDPT2018!$A$3:$G$20,2,FALSE),"")</f>
        <v/>
      </c>
      <c r="H188" s="5">
        <f>IFERROR(VLOOKUP(F188,DM_Mon_GDPT2018!$A$3:$G$20,3,FALSE),"")</f>
        <v/>
      </c>
      <c r="I188" s="5">
        <f>IFERROR(VLOOKUP(F188,DM_Mon_GDPT2018!$A$3:$G$20,5,FALSE),"")</f>
        <v/>
      </c>
      <c r="J188" s="6">
        <f>IF($I188="","",ROUND($I188*Huong_dan!$B$7/Huong_dan!$B$9,0))</f>
        <v/>
      </c>
      <c r="K188" s="6">
        <f>IF($I188="","",$I188-$J188)</f>
        <v/>
      </c>
      <c r="L188" s="6" t="n"/>
      <c r="M188" s="6">
        <f>IFERROR(VLOOKUP(L188,DM_Giao_vien!$A$3:$H$102,2,FALSE),"")</f>
        <v/>
      </c>
      <c r="N188" s="6">
        <f>IFERROR(VLOOKUP(L188,DM_Giao_vien!$A$3:$H$102,8,FALSE),"")</f>
        <v/>
      </c>
      <c r="O188" s="6" t="n"/>
      <c r="P188" s="6">
        <f>IFERROR(VLOOKUP(O188,DM_Giao_vien!$A$3:$H$102,2,FALSE),"")</f>
        <v/>
      </c>
      <c r="Q188" s="6">
        <f>IFERROR(VLOOKUP(O188,DM_Giao_vien!$A$3:$H$102,8,FALSE),"")</f>
        <v/>
      </c>
      <c r="R188" s="6" t="n"/>
    </row>
    <row r="189">
      <c r="A189" s="5" t="n">
        <v>187</v>
      </c>
      <c r="B189" s="6">
        <f>IF(D189="","",Huong_dan!$B$6)</f>
        <v/>
      </c>
      <c r="C189" s="5" t="n"/>
      <c r="D189" s="5" t="n"/>
      <c r="E189" s="5" t="n"/>
      <c r="F189" s="5" t="n"/>
      <c r="G189" s="5">
        <f>IFERROR(VLOOKUP(F189,DM_Mon_GDPT2018!$A$3:$G$20,2,FALSE),"")</f>
        <v/>
      </c>
      <c r="H189" s="5">
        <f>IFERROR(VLOOKUP(F189,DM_Mon_GDPT2018!$A$3:$G$20,3,FALSE),"")</f>
        <v/>
      </c>
      <c r="I189" s="5">
        <f>IFERROR(VLOOKUP(F189,DM_Mon_GDPT2018!$A$3:$G$20,5,FALSE),"")</f>
        <v/>
      </c>
      <c r="J189" s="6">
        <f>IF($I189="","",ROUND($I189*Huong_dan!$B$7/Huong_dan!$B$9,0))</f>
        <v/>
      </c>
      <c r="K189" s="6">
        <f>IF($I189="","",$I189-$J189)</f>
        <v/>
      </c>
      <c r="L189" s="6" t="n"/>
      <c r="M189" s="6">
        <f>IFERROR(VLOOKUP(L189,DM_Giao_vien!$A$3:$H$102,2,FALSE),"")</f>
        <v/>
      </c>
      <c r="N189" s="6">
        <f>IFERROR(VLOOKUP(L189,DM_Giao_vien!$A$3:$H$102,8,FALSE),"")</f>
        <v/>
      </c>
      <c r="O189" s="6" t="n"/>
      <c r="P189" s="6">
        <f>IFERROR(VLOOKUP(O189,DM_Giao_vien!$A$3:$H$102,2,FALSE),"")</f>
        <v/>
      </c>
      <c r="Q189" s="6">
        <f>IFERROR(VLOOKUP(O189,DM_Giao_vien!$A$3:$H$102,8,FALSE),"")</f>
        <v/>
      </c>
      <c r="R189" s="6" t="n"/>
    </row>
    <row r="190">
      <c r="A190" s="5" t="n">
        <v>188</v>
      </c>
      <c r="B190" s="6">
        <f>IF(D190="","",Huong_dan!$B$6)</f>
        <v/>
      </c>
      <c r="C190" s="5" t="n"/>
      <c r="D190" s="5" t="n"/>
      <c r="E190" s="5" t="n"/>
      <c r="F190" s="5" t="n"/>
      <c r="G190" s="5">
        <f>IFERROR(VLOOKUP(F190,DM_Mon_GDPT2018!$A$3:$G$20,2,FALSE),"")</f>
        <v/>
      </c>
      <c r="H190" s="5">
        <f>IFERROR(VLOOKUP(F190,DM_Mon_GDPT2018!$A$3:$G$20,3,FALSE),"")</f>
        <v/>
      </c>
      <c r="I190" s="5">
        <f>IFERROR(VLOOKUP(F190,DM_Mon_GDPT2018!$A$3:$G$20,5,FALSE),"")</f>
        <v/>
      </c>
      <c r="J190" s="6">
        <f>IF($I190="","",ROUND($I190*Huong_dan!$B$7/Huong_dan!$B$9,0))</f>
        <v/>
      </c>
      <c r="K190" s="6">
        <f>IF($I190="","",$I190-$J190)</f>
        <v/>
      </c>
      <c r="L190" s="6" t="n"/>
      <c r="M190" s="6">
        <f>IFERROR(VLOOKUP(L190,DM_Giao_vien!$A$3:$H$102,2,FALSE),"")</f>
        <v/>
      </c>
      <c r="N190" s="6">
        <f>IFERROR(VLOOKUP(L190,DM_Giao_vien!$A$3:$H$102,8,FALSE),"")</f>
        <v/>
      </c>
      <c r="O190" s="6" t="n"/>
      <c r="P190" s="6">
        <f>IFERROR(VLOOKUP(O190,DM_Giao_vien!$A$3:$H$102,2,FALSE),"")</f>
        <v/>
      </c>
      <c r="Q190" s="6">
        <f>IFERROR(VLOOKUP(O190,DM_Giao_vien!$A$3:$H$102,8,FALSE),"")</f>
        <v/>
      </c>
      <c r="R190" s="6" t="n"/>
    </row>
    <row r="191">
      <c r="A191" s="5" t="n">
        <v>189</v>
      </c>
      <c r="B191" s="6">
        <f>IF(D191="","",Huong_dan!$B$6)</f>
        <v/>
      </c>
      <c r="C191" s="5" t="n"/>
      <c r="D191" s="5" t="n"/>
      <c r="E191" s="5" t="n"/>
      <c r="F191" s="5" t="n"/>
      <c r="G191" s="5">
        <f>IFERROR(VLOOKUP(F191,DM_Mon_GDPT2018!$A$3:$G$20,2,FALSE),"")</f>
        <v/>
      </c>
      <c r="H191" s="5">
        <f>IFERROR(VLOOKUP(F191,DM_Mon_GDPT2018!$A$3:$G$20,3,FALSE),"")</f>
        <v/>
      </c>
      <c r="I191" s="5">
        <f>IFERROR(VLOOKUP(F191,DM_Mon_GDPT2018!$A$3:$G$20,5,FALSE),"")</f>
        <v/>
      </c>
      <c r="J191" s="6">
        <f>IF($I191="","",ROUND($I191*Huong_dan!$B$7/Huong_dan!$B$9,0))</f>
        <v/>
      </c>
      <c r="K191" s="6">
        <f>IF($I191="","",$I191-$J191)</f>
        <v/>
      </c>
      <c r="L191" s="6" t="n"/>
      <c r="M191" s="6">
        <f>IFERROR(VLOOKUP(L191,DM_Giao_vien!$A$3:$H$102,2,FALSE),"")</f>
        <v/>
      </c>
      <c r="N191" s="6">
        <f>IFERROR(VLOOKUP(L191,DM_Giao_vien!$A$3:$H$102,8,FALSE),"")</f>
        <v/>
      </c>
      <c r="O191" s="6" t="n"/>
      <c r="P191" s="6">
        <f>IFERROR(VLOOKUP(O191,DM_Giao_vien!$A$3:$H$102,2,FALSE),"")</f>
        <v/>
      </c>
      <c r="Q191" s="6">
        <f>IFERROR(VLOOKUP(O191,DM_Giao_vien!$A$3:$H$102,8,FALSE),"")</f>
        <v/>
      </c>
      <c r="R191" s="6" t="n"/>
    </row>
    <row r="192">
      <c r="A192" s="5" t="n">
        <v>190</v>
      </c>
      <c r="B192" s="6">
        <f>IF(D192="","",Huong_dan!$B$6)</f>
        <v/>
      </c>
      <c r="C192" s="5" t="n"/>
      <c r="D192" s="5" t="n"/>
      <c r="E192" s="5" t="n"/>
      <c r="F192" s="5" t="n"/>
      <c r="G192" s="5">
        <f>IFERROR(VLOOKUP(F192,DM_Mon_GDPT2018!$A$3:$G$20,2,FALSE),"")</f>
        <v/>
      </c>
      <c r="H192" s="5">
        <f>IFERROR(VLOOKUP(F192,DM_Mon_GDPT2018!$A$3:$G$20,3,FALSE),"")</f>
        <v/>
      </c>
      <c r="I192" s="5">
        <f>IFERROR(VLOOKUP(F192,DM_Mon_GDPT2018!$A$3:$G$20,5,FALSE),"")</f>
        <v/>
      </c>
      <c r="J192" s="6">
        <f>IF($I192="","",ROUND($I192*Huong_dan!$B$7/Huong_dan!$B$9,0))</f>
        <v/>
      </c>
      <c r="K192" s="6">
        <f>IF($I192="","",$I192-$J192)</f>
        <v/>
      </c>
      <c r="L192" s="6" t="n"/>
      <c r="M192" s="6">
        <f>IFERROR(VLOOKUP(L192,DM_Giao_vien!$A$3:$H$102,2,FALSE),"")</f>
        <v/>
      </c>
      <c r="N192" s="6">
        <f>IFERROR(VLOOKUP(L192,DM_Giao_vien!$A$3:$H$102,8,FALSE),"")</f>
        <v/>
      </c>
      <c r="O192" s="6" t="n"/>
      <c r="P192" s="6">
        <f>IFERROR(VLOOKUP(O192,DM_Giao_vien!$A$3:$H$102,2,FALSE),"")</f>
        <v/>
      </c>
      <c r="Q192" s="6">
        <f>IFERROR(VLOOKUP(O192,DM_Giao_vien!$A$3:$H$102,8,FALSE),"")</f>
        <v/>
      </c>
      <c r="R192" s="6" t="n"/>
    </row>
    <row r="193">
      <c r="A193" s="5" t="n">
        <v>191</v>
      </c>
      <c r="B193" s="6">
        <f>IF(D193="","",Huong_dan!$B$6)</f>
        <v/>
      </c>
      <c r="C193" s="5" t="n"/>
      <c r="D193" s="5" t="n"/>
      <c r="E193" s="5" t="n"/>
      <c r="F193" s="5" t="n"/>
      <c r="G193" s="5">
        <f>IFERROR(VLOOKUP(F193,DM_Mon_GDPT2018!$A$3:$G$20,2,FALSE),"")</f>
        <v/>
      </c>
      <c r="H193" s="5">
        <f>IFERROR(VLOOKUP(F193,DM_Mon_GDPT2018!$A$3:$G$20,3,FALSE),"")</f>
        <v/>
      </c>
      <c r="I193" s="5">
        <f>IFERROR(VLOOKUP(F193,DM_Mon_GDPT2018!$A$3:$G$20,5,FALSE),"")</f>
        <v/>
      </c>
      <c r="J193" s="6">
        <f>IF($I193="","",ROUND($I193*Huong_dan!$B$7/Huong_dan!$B$9,0))</f>
        <v/>
      </c>
      <c r="K193" s="6">
        <f>IF($I193="","",$I193-$J193)</f>
        <v/>
      </c>
      <c r="L193" s="6" t="n"/>
      <c r="M193" s="6">
        <f>IFERROR(VLOOKUP(L193,DM_Giao_vien!$A$3:$H$102,2,FALSE),"")</f>
        <v/>
      </c>
      <c r="N193" s="6">
        <f>IFERROR(VLOOKUP(L193,DM_Giao_vien!$A$3:$H$102,8,FALSE),"")</f>
        <v/>
      </c>
      <c r="O193" s="6" t="n"/>
      <c r="P193" s="6">
        <f>IFERROR(VLOOKUP(O193,DM_Giao_vien!$A$3:$H$102,2,FALSE),"")</f>
        <v/>
      </c>
      <c r="Q193" s="6">
        <f>IFERROR(VLOOKUP(O193,DM_Giao_vien!$A$3:$H$102,8,FALSE),"")</f>
        <v/>
      </c>
      <c r="R193" s="6" t="n"/>
    </row>
    <row r="194">
      <c r="A194" s="5" t="n">
        <v>192</v>
      </c>
      <c r="B194" s="6">
        <f>IF(D194="","",Huong_dan!$B$6)</f>
        <v/>
      </c>
      <c r="C194" s="5" t="n"/>
      <c r="D194" s="5" t="n"/>
      <c r="E194" s="5" t="n"/>
      <c r="F194" s="5" t="n"/>
      <c r="G194" s="5">
        <f>IFERROR(VLOOKUP(F194,DM_Mon_GDPT2018!$A$3:$G$20,2,FALSE),"")</f>
        <v/>
      </c>
      <c r="H194" s="5">
        <f>IFERROR(VLOOKUP(F194,DM_Mon_GDPT2018!$A$3:$G$20,3,FALSE),"")</f>
        <v/>
      </c>
      <c r="I194" s="5">
        <f>IFERROR(VLOOKUP(F194,DM_Mon_GDPT2018!$A$3:$G$20,5,FALSE),"")</f>
        <v/>
      </c>
      <c r="J194" s="6">
        <f>IF($I194="","",ROUND($I194*Huong_dan!$B$7/Huong_dan!$B$9,0))</f>
        <v/>
      </c>
      <c r="K194" s="6">
        <f>IF($I194="","",$I194-$J194)</f>
        <v/>
      </c>
      <c r="L194" s="6" t="n"/>
      <c r="M194" s="6">
        <f>IFERROR(VLOOKUP(L194,DM_Giao_vien!$A$3:$H$102,2,FALSE),"")</f>
        <v/>
      </c>
      <c r="N194" s="6">
        <f>IFERROR(VLOOKUP(L194,DM_Giao_vien!$A$3:$H$102,8,FALSE),"")</f>
        <v/>
      </c>
      <c r="O194" s="6" t="n"/>
      <c r="P194" s="6">
        <f>IFERROR(VLOOKUP(O194,DM_Giao_vien!$A$3:$H$102,2,FALSE),"")</f>
        <v/>
      </c>
      <c r="Q194" s="6">
        <f>IFERROR(VLOOKUP(O194,DM_Giao_vien!$A$3:$H$102,8,FALSE),"")</f>
        <v/>
      </c>
      <c r="R194" s="6" t="n"/>
    </row>
    <row r="195">
      <c r="A195" s="5" t="n">
        <v>193</v>
      </c>
      <c r="B195" s="6">
        <f>IF(D195="","",Huong_dan!$B$6)</f>
        <v/>
      </c>
      <c r="C195" s="5" t="n"/>
      <c r="D195" s="5" t="n"/>
      <c r="E195" s="5" t="n"/>
      <c r="F195" s="5" t="n"/>
      <c r="G195" s="5">
        <f>IFERROR(VLOOKUP(F195,DM_Mon_GDPT2018!$A$3:$G$20,2,FALSE),"")</f>
        <v/>
      </c>
      <c r="H195" s="5">
        <f>IFERROR(VLOOKUP(F195,DM_Mon_GDPT2018!$A$3:$G$20,3,FALSE),"")</f>
        <v/>
      </c>
      <c r="I195" s="5">
        <f>IFERROR(VLOOKUP(F195,DM_Mon_GDPT2018!$A$3:$G$20,5,FALSE),"")</f>
        <v/>
      </c>
      <c r="J195" s="6">
        <f>IF($I195="","",ROUND($I195*Huong_dan!$B$7/Huong_dan!$B$9,0))</f>
        <v/>
      </c>
      <c r="K195" s="6">
        <f>IF($I195="","",$I195-$J195)</f>
        <v/>
      </c>
      <c r="L195" s="6" t="n"/>
      <c r="M195" s="6">
        <f>IFERROR(VLOOKUP(L195,DM_Giao_vien!$A$3:$H$102,2,FALSE),"")</f>
        <v/>
      </c>
      <c r="N195" s="6">
        <f>IFERROR(VLOOKUP(L195,DM_Giao_vien!$A$3:$H$102,8,FALSE),"")</f>
        <v/>
      </c>
      <c r="O195" s="6" t="n"/>
      <c r="P195" s="6">
        <f>IFERROR(VLOOKUP(O195,DM_Giao_vien!$A$3:$H$102,2,FALSE),"")</f>
        <v/>
      </c>
      <c r="Q195" s="6">
        <f>IFERROR(VLOOKUP(O195,DM_Giao_vien!$A$3:$H$102,8,FALSE),"")</f>
        <v/>
      </c>
      <c r="R195" s="6" t="n"/>
    </row>
    <row r="196">
      <c r="A196" s="5" t="n">
        <v>194</v>
      </c>
      <c r="B196" s="6">
        <f>IF(D196="","",Huong_dan!$B$6)</f>
        <v/>
      </c>
      <c r="C196" s="5" t="n"/>
      <c r="D196" s="5" t="n"/>
      <c r="E196" s="5" t="n"/>
      <c r="F196" s="5" t="n"/>
      <c r="G196" s="5">
        <f>IFERROR(VLOOKUP(F196,DM_Mon_GDPT2018!$A$3:$G$20,2,FALSE),"")</f>
        <v/>
      </c>
      <c r="H196" s="5">
        <f>IFERROR(VLOOKUP(F196,DM_Mon_GDPT2018!$A$3:$G$20,3,FALSE),"")</f>
        <v/>
      </c>
      <c r="I196" s="5">
        <f>IFERROR(VLOOKUP(F196,DM_Mon_GDPT2018!$A$3:$G$20,5,FALSE),"")</f>
        <v/>
      </c>
      <c r="J196" s="6">
        <f>IF($I196="","",ROUND($I196*Huong_dan!$B$7/Huong_dan!$B$9,0))</f>
        <v/>
      </c>
      <c r="K196" s="6">
        <f>IF($I196="","",$I196-$J196)</f>
        <v/>
      </c>
      <c r="L196" s="6" t="n"/>
      <c r="M196" s="6">
        <f>IFERROR(VLOOKUP(L196,DM_Giao_vien!$A$3:$H$102,2,FALSE),"")</f>
        <v/>
      </c>
      <c r="N196" s="6">
        <f>IFERROR(VLOOKUP(L196,DM_Giao_vien!$A$3:$H$102,8,FALSE),"")</f>
        <v/>
      </c>
      <c r="O196" s="6" t="n"/>
      <c r="P196" s="6">
        <f>IFERROR(VLOOKUP(O196,DM_Giao_vien!$A$3:$H$102,2,FALSE),"")</f>
        <v/>
      </c>
      <c r="Q196" s="6">
        <f>IFERROR(VLOOKUP(O196,DM_Giao_vien!$A$3:$H$102,8,FALSE),"")</f>
        <v/>
      </c>
      <c r="R196" s="6" t="n"/>
    </row>
    <row r="197">
      <c r="A197" s="5" t="n">
        <v>195</v>
      </c>
      <c r="B197" s="6">
        <f>IF(D197="","",Huong_dan!$B$6)</f>
        <v/>
      </c>
      <c r="C197" s="5" t="n"/>
      <c r="D197" s="5" t="n"/>
      <c r="E197" s="5" t="n"/>
      <c r="F197" s="5" t="n"/>
      <c r="G197" s="5">
        <f>IFERROR(VLOOKUP(F197,DM_Mon_GDPT2018!$A$3:$G$20,2,FALSE),"")</f>
        <v/>
      </c>
      <c r="H197" s="5">
        <f>IFERROR(VLOOKUP(F197,DM_Mon_GDPT2018!$A$3:$G$20,3,FALSE),"")</f>
        <v/>
      </c>
      <c r="I197" s="5">
        <f>IFERROR(VLOOKUP(F197,DM_Mon_GDPT2018!$A$3:$G$20,5,FALSE),"")</f>
        <v/>
      </c>
      <c r="J197" s="6">
        <f>IF($I197="","",ROUND($I197*Huong_dan!$B$7/Huong_dan!$B$9,0))</f>
        <v/>
      </c>
      <c r="K197" s="6">
        <f>IF($I197="","",$I197-$J197)</f>
        <v/>
      </c>
      <c r="L197" s="6" t="n"/>
      <c r="M197" s="6">
        <f>IFERROR(VLOOKUP(L197,DM_Giao_vien!$A$3:$H$102,2,FALSE),"")</f>
        <v/>
      </c>
      <c r="N197" s="6">
        <f>IFERROR(VLOOKUP(L197,DM_Giao_vien!$A$3:$H$102,8,FALSE),"")</f>
        <v/>
      </c>
      <c r="O197" s="6" t="n"/>
      <c r="P197" s="6">
        <f>IFERROR(VLOOKUP(O197,DM_Giao_vien!$A$3:$H$102,2,FALSE),"")</f>
        <v/>
      </c>
      <c r="Q197" s="6">
        <f>IFERROR(VLOOKUP(O197,DM_Giao_vien!$A$3:$H$102,8,FALSE),"")</f>
        <v/>
      </c>
      <c r="R197" s="6" t="n"/>
    </row>
    <row r="198">
      <c r="A198" s="5" t="n">
        <v>196</v>
      </c>
      <c r="B198" s="6">
        <f>IF(D198="","",Huong_dan!$B$6)</f>
        <v/>
      </c>
      <c r="C198" s="5" t="n"/>
      <c r="D198" s="5" t="n"/>
      <c r="E198" s="5" t="n"/>
      <c r="F198" s="5" t="n"/>
      <c r="G198" s="5">
        <f>IFERROR(VLOOKUP(F198,DM_Mon_GDPT2018!$A$3:$G$20,2,FALSE),"")</f>
        <v/>
      </c>
      <c r="H198" s="5">
        <f>IFERROR(VLOOKUP(F198,DM_Mon_GDPT2018!$A$3:$G$20,3,FALSE),"")</f>
        <v/>
      </c>
      <c r="I198" s="5">
        <f>IFERROR(VLOOKUP(F198,DM_Mon_GDPT2018!$A$3:$G$20,5,FALSE),"")</f>
        <v/>
      </c>
      <c r="J198" s="6">
        <f>IF($I198="","",ROUND($I198*Huong_dan!$B$7/Huong_dan!$B$9,0))</f>
        <v/>
      </c>
      <c r="K198" s="6">
        <f>IF($I198="","",$I198-$J198)</f>
        <v/>
      </c>
      <c r="L198" s="6" t="n"/>
      <c r="M198" s="6">
        <f>IFERROR(VLOOKUP(L198,DM_Giao_vien!$A$3:$H$102,2,FALSE),"")</f>
        <v/>
      </c>
      <c r="N198" s="6">
        <f>IFERROR(VLOOKUP(L198,DM_Giao_vien!$A$3:$H$102,8,FALSE),"")</f>
        <v/>
      </c>
      <c r="O198" s="6" t="n"/>
      <c r="P198" s="6">
        <f>IFERROR(VLOOKUP(O198,DM_Giao_vien!$A$3:$H$102,2,FALSE),"")</f>
        <v/>
      </c>
      <c r="Q198" s="6">
        <f>IFERROR(VLOOKUP(O198,DM_Giao_vien!$A$3:$H$102,8,FALSE),"")</f>
        <v/>
      </c>
      <c r="R198" s="6" t="n"/>
    </row>
    <row r="199">
      <c r="A199" s="5" t="n">
        <v>197</v>
      </c>
      <c r="B199" s="6">
        <f>IF(D199="","",Huong_dan!$B$6)</f>
        <v/>
      </c>
      <c r="C199" s="5" t="n"/>
      <c r="D199" s="5" t="n"/>
      <c r="E199" s="5" t="n"/>
      <c r="F199" s="5" t="n"/>
      <c r="G199" s="5">
        <f>IFERROR(VLOOKUP(F199,DM_Mon_GDPT2018!$A$3:$G$20,2,FALSE),"")</f>
        <v/>
      </c>
      <c r="H199" s="5">
        <f>IFERROR(VLOOKUP(F199,DM_Mon_GDPT2018!$A$3:$G$20,3,FALSE),"")</f>
        <v/>
      </c>
      <c r="I199" s="5">
        <f>IFERROR(VLOOKUP(F199,DM_Mon_GDPT2018!$A$3:$G$20,5,FALSE),"")</f>
        <v/>
      </c>
      <c r="J199" s="6">
        <f>IF($I199="","",ROUND($I199*Huong_dan!$B$7/Huong_dan!$B$9,0))</f>
        <v/>
      </c>
      <c r="K199" s="6">
        <f>IF($I199="","",$I199-$J199)</f>
        <v/>
      </c>
      <c r="L199" s="6" t="n"/>
      <c r="M199" s="6">
        <f>IFERROR(VLOOKUP(L199,DM_Giao_vien!$A$3:$H$102,2,FALSE),"")</f>
        <v/>
      </c>
      <c r="N199" s="6">
        <f>IFERROR(VLOOKUP(L199,DM_Giao_vien!$A$3:$H$102,8,FALSE),"")</f>
        <v/>
      </c>
      <c r="O199" s="6" t="n"/>
      <c r="P199" s="6">
        <f>IFERROR(VLOOKUP(O199,DM_Giao_vien!$A$3:$H$102,2,FALSE),"")</f>
        <v/>
      </c>
      <c r="Q199" s="6">
        <f>IFERROR(VLOOKUP(O199,DM_Giao_vien!$A$3:$H$102,8,FALSE),"")</f>
        <v/>
      </c>
      <c r="R199" s="6" t="n"/>
    </row>
    <row r="200">
      <c r="A200" s="5" t="n">
        <v>198</v>
      </c>
      <c r="B200" s="6">
        <f>IF(D200="","",Huong_dan!$B$6)</f>
        <v/>
      </c>
      <c r="C200" s="5" t="n"/>
      <c r="D200" s="5" t="n"/>
      <c r="E200" s="5" t="n"/>
      <c r="F200" s="5" t="n"/>
      <c r="G200" s="5">
        <f>IFERROR(VLOOKUP(F200,DM_Mon_GDPT2018!$A$3:$G$20,2,FALSE),"")</f>
        <v/>
      </c>
      <c r="H200" s="5">
        <f>IFERROR(VLOOKUP(F200,DM_Mon_GDPT2018!$A$3:$G$20,3,FALSE),"")</f>
        <v/>
      </c>
      <c r="I200" s="5">
        <f>IFERROR(VLOOKUP(F200,DM_Mon_GDPT2018!$A$3:$G$20,5,FALSE),"")</f>
        <v/>
      </c>
      <c r="J200" s="6">
        <f>IF($I200="","",ROUND($I200*Huong_dan!$B$7/Huong_dan!$B$9,0))</f>
        <v/>
      </c>
      <c r="K200" s="6">
        <f>IF($I200="","",$I200-$J200)</f>
        <v/>
      </c>
      <c r="L200" s="6" t="n"/>
      <c r="M200" s="6">
        <f>IFERROR(VLOOKUP(L200,DM_Giao_vien!$A$3:$H$102,2,FALSE),"")</f>
        <v/>
      </c>
      <c r="N200" s="6">
        <f>IFERROR(VLOOKUP(L200,DM_Giao_vien!$A$3:$H$102,8,FALSE),"")</f>
        <v/>
      </c>
      <c r="O200" s="6" t="n"/>
      <c r="P200" s="6">
        <f>IFERROR(VLOOKUP(O200,DM_Giao_vien!$A$3:$H$102,2,FALSE),"")</f>
        <v/>
      </c>
      <c r="Q200" s="6">
        <f>IFERROR(VLOOKUP(O200,DM_Giao_vien!$A$3:$H$102,8,FALSE),"")</f>
        <v/>
      </c>
      <c r="R200" s="6" t="n"/>
    </row>
    <row r="201">
      <c r="A201" s="5" t="n">
        <v>199</v>
      </c>
      <c r="B201" s="6">
        <f>IF(D201="","",Huong_dan!$B$6)</f>
        <v/>
      </c>
      <c r="C201" s="5" t="n"/>
      <c r="D201" s="5" t="n"/>
      <c r="E201" s="5" t="n"/>
      <c r="F201" s="5" t="n"/>
      <c r="G201" s="5">
        <f>IFERROR(VLOOKUP(F201,DM_Mon_GDPT2018!$A$3:$G$20,2,FALSE),"")</f>
        <v/>
      </c>
      <c r="H201" s="5">
        <f>IFERROR(VLOOKUP(F201,DM_Mon_GDPT2018!$A$3:$G$20,3,FALSE),"")</f>
        <v/>
      </c>
      <c r="I201" s="5">
        <f>IFERROR(VLOOKUP(F201,DM_Mon_GDPT2018!$A$3:$G$20,5,FALSE),"")</f>
        <v/>
      </c>
      <c r="J201" s="6">
        <f>IF($I201="","",ROUND($I201*Huong_dan!$B$7/Huong_dan!$B$9,0))</f>
        <v/>
      </c>
      <c r="K201" s="6">
        <f>IF($I201="","",$I201-$J201)</f>
        <v/>
      </c>
      <c r="L201" s="6" t="n"/>
      <c r="M201" s="6">
        <f>IFERROR(VLOOKUP(L201,DM_Giao_vien!$A$3:$H$102,2,FALSE),"")</f>
        <v/>
      </c>
      <c r="N201" s="6">
        <f>IFERROR(VLOOKUP(L201,DM_Giao_vien!$A$3:$H$102,8,FALSE),"")</f>
        <v/>
      </c>
      <c r="O201" s="6" t="n"/>
      <c r="P201" s="6">
        <f>IFERROR(VLOOKUP(O201,DM_Giao_vien!$A$3:$H$102,2,FALSE),"")</f>
        <v/>
      </c>
      <c r="Q201" s="6">
        <f>IFERROR(VLOOKUP(O201,DM_Giao_vien!$A$3:$H$102,8,FALSE),"")</f>
        <v/>
      </c>
      <c r="R201" s="6" t="n"/>
    </row>
    <row r="202">
      <c r="A202" s="5" t="n">
        <v>200</v>
      </c>
      <c r="B202" s="6">
        <f>IF(D202="","",Huong_dan!$B$6)</f>
        <v/>
      </c>
      <c r="C202" s="5" t="n"/>
      <c r="D202" s="5" t="n"/>
      <c r="E202" s="5" t="n"/>
      <c r="F202" s="5" t="n"/>
      <c r="G202" s="5">
        <f>IFERROR(VLOOKUP(F202,DM_Mon_GDPT2018!$A$3:$G$20,2,FALSE),"")</f>
        <v/>
      </c>
      <c r="H202" s="5">
        <f>IFERROR(VLOOKUP(F202,DM_Mon_GDPT2018!$A$3:$G$20,3,FALSE),"")</f>
        <v/>
      </c>
      <c r="I202" s="5">
        <f>IFERROR(VLOOKUP(F202,DM_Mon_GDPT2018!$A$3:$G$20,5,FALSE),"")</f>
        <v/>
      </c>
      <c r="J202" s="6">
        <f>IF($I202="","",ROUND($I202*Huong_dan!$B$7/Huong_dan!$B$9,0))</f>
        <v/>
      </c>
      <c r="K202" s="6">
        <f>IF($I202="","",$I202-$J202)</f>
        <v/>
      </c>
      <c r="L202" s="6" t="n"/>
      <c r="M202" s="6">
        <f>IFERROR(VLOOKUP(L202,DM_Giao_vien!$A$3:$H$102,2,FALSE),"")</f>
        <v/>
      </c>
      <c r="N202" s="6">
        <f>IFERROR(VLOOKUP(L202,DM_Giao_vien!$A$3:$H$102,8,FALSE),"")</f>
        <v/>
      </c>
      <c r="O202" s="6" t="n"/>
      <c r="P202" s="6">
        <f>IFERROR(VLOOKUP(O202,DM_Giao_vien!$A$3:$H$102,2,FALSE),"")</f>
        <v/>
      </c>
      <c r="Q202" s="6">
        <f>IFERROR(VLOOKUP(O202,DM_Giao_vien!$A$3:$H$102,8,FALSE),"")</f>
        <v/>
      </c>
      <c r="R202" s="6" t="n"/>
    </row>
    <row r="203">
      <c r="A203" s="5" t="n">
        <v>201</v>
      </c>
      <c r="B203" s="6">
        <f>IF(D203="","",Huong_dan!$B$6)</f>
        <v/>
      </c>
      <c r="C203" s="5" t="n"/>
      <c r="D203" s="5" t="n"/>
      <c r="E203" s="5" t="n"/>
      <c r="F203" s="5" t="n"/>
      <c r="G203" s="5">
        <f>IFERROR(VLOOKUP(F203,DM_Mon_GDPT2018!$A$3:$G$20,2,FALSE),"")</f>
        <v/>
      </c>
      <c r="H203" s="5">
        <f>IFERROR(VLOOKUP(F203,DM_Mon_GDPT2018!$A$3:$G$20,3,FALSE),"")</f>
        <v/>
      </c>
      <c r="I203" s="5">
        <f>IFERROR(VLOOKUP(F203,DM_Mon_GDPT2018!$A$3:$G$20,5,FALSE),"")</f>
        <v/>
      </c>
      <c r="J203" s="6">
        <f>IF($I203="","",ROUND($I203*Huong_dan!$B$7/Huong_dan!$B$9,0))</f>
        <v/>
      </c>
      <c r="K203" s="6">
        <f>IF($I203="","",$I203-$J203)</f>
        <v/>
      </c>
      <c r="L203" s="6" t="n"/>
      <c r="M203" s="6">
        <f>IFERROR(VLOOKUP(L203,DM_Giao_vien!$A$3:$H$102,2,FALSE),"")</f>
        <v/>
      </c>
      <c r="N203" s="6">
        <f>IFERROR(VLOOKUP(L203,DM_Giao_vien!$A$3:$H$102,8,FALSE),"")</f>
        <v/>
      </c>
      <c r="O203" s="6" t="n"/>
      <c r="P203" s="6">
        <f>IFERROR(VLOOKUP(O203,DM_Giao_vien!$A$3:$H$102,2,FALSE),"")</f>
        <v/>
      </c>
      <c r="Q203" s="6">
        <f>IFERROR(VLOOKUP(O203,DM_Giao_vien!$A$3:$H$102,8,FALSE),"")</f>
        <v/>
      </c>
      <c r="R203" s="6" t="n"/>
    </row>
    <row r="204">
      <c r="A204" s="5" t="n">
        <v>202</v>
      </c>
      <c r="B204" s="6">
        <f>IF(D204="","",Huong_dan!$B$6)</f>
        <v/>
      </c>
      <c r="C204" s="5" t="n"/>
      <c r="D204" s="5" t="n"/>
      <c r="E204" s="5" t="n"/>
      <c r="F204" s="5" t="n"/>
      <c r="G204" s="5">
        <f>IFERROR(VLOOKUP(F204,DM_Mon_GDPT2018!$A$3:$G$20,2,FALSE),"")</f>
        <v/>
      </c>
      <c r="H204" s="5">
        <f>IFERROR(VLOOKUP(F204,DM_Mon_GDPT2018!$A$3:$G$20,3,FALSE),"")</f>
        <v/>
      </c>
      <c r="I204" s="5">
        <f>IFERROR(VLOOKUP(F204,DM_Mon_GDPT2018!$A$3:$G$20,5,FALSE),"")</f>
        <v/>
      </c>
      <c r="J204" s="6">
        <f>IF($I204="","",ROUND($I204*Huong_dan!$B$7/Huong_dan!$B$9,0))</f>
        <v/>
      </c>
      <c r="K204" s="6">
        <f>IF($I204="","",$I204-$J204)</f>
        <v/>
      </c>
      <c r="L204" s="6" t="n"/>
      <c r="M204" s="6">
        <f>IFERROR(VLOOKUP(L204,DM_Giao_vien!$A$3:$H$102,2,FALSE),"")</f>
        <v/>
      </c>
      <c r="N204" s="6">
        <f>IFERROR(VLOOKUP(L204,DM_Giao_vien!$A$3:$H$102,8,FALSE),"")</f>
        <v/>
      </c>
      <c r="O204" s="6" t="n"/>
      <c r="P204" s="6">
        <f>IFERROR(VLOOKUP(O204,DM_Giao_vien!$A$3:$H$102,2,FALSE),"")</f>
        <v/>
      </c>
      <c r="Q204" s="6">
        <f>IFERROR(VLOOKUP(O204,DM_Giao_vien!$A$3:$H$102,8,FALSE),"")</f>
        <v/>
      </c>
      <c r="R204" s="6" t="n"/>
    </row>
    <row r="205">
      <c r="A205" s="5" t="n">
        <v>203</v>
      </c>
      <c r="B205" s="6">
        <f>IF(D205="","",Huong_dan!$B$6)</f>
        <v/>
      </c>
      <c r="C205" s="5" t="n"/>
      <c r="D205" s="5" t="n"/>
      <c r="E205" s="5" t="n"/>
      <c r="F205" s="5" t="n"/>
      <c r="G205" s="5">
        <f>IFERROR(VLOOKUP(F205,DM_Mon_GDPT2018!$A$3:$G$20,2,FALSE),"")</f>
        <v/>
      </c>
      <c r="H205" s="5">
        <f>IFERROR(VLOOKUP(F205,DM_Mon_GDPT2018!$A$3:$G$20,3,FALSE),"")</f>
        <v/>
      </c>
      <c r="I205" s="5">
        <f>IFERROR(VLOOKUP(F205,DM_Mon_GDPT2018!$A$3:$G$20,5,FALSE),"")</f>
        <v/>
      </c>
      <c r="J205" s="6">
        <f>IF($I205="","",ROUND($I205*Huong_dan!$B$7/Huong_dan!$B$9,0))</f>
        <v/>
      </c>
      <c r="K205" s="6">
        <f>IF($I205="","",$I205-$J205)</f>
        <v/>
      </c>
      <c r="L205" s="6" t="n"/>
      <c r="M205" s="6">
        <f>IFERROR(VLOOKUP(L205,DM_Giao_vien!$A$3:$H$102,2,FALSE),"")</f>
        <v/>
      </c>
      <c r="N205" s="6">
        <f>IFERROR(VLOOKUP(L205,DM_Giao_vien!$A$3:$H$102,8,FALSE),"")</f>
        <v/>
      </c>
      <c r="O205" s="6" t="n"/>
      <c r="P205" s="6">
        <f>IFERROR(VLOOKUP(O205,DM_Giao_vien!$A$3:$H$102,2,FALSE),"")</f>
        <v/>
      </c>
      <c r="Q205" s="6">
        <f>IFERROR(VLOOKUP(O205,DM_Giao_vien!$A$3:$H$102,8,FALSE),"")</f>
        <v/>
      </c>
      <c r="R205" s="6" t="n"/>
    </row>
    <row r="206">
      <c r="A206" s="5" t="n">
        <v>204</v>
      </c>
      <c r="B206" s="6">
        <f>IF(D206="","",Huong_dan!$B$6)</f>
        <v/>
      </c>
      <c r="C206" s="5" t="n"/>
      <c r="D206" s="5" t="n"/>
      <c r="E206" s="5" t="n"/>
      <c r="F206" s="5" t="n"/>
      <c r="G206" s="5">
        <f>IFERROR(VLOOKUP(F206,DM_Mon_GDPT2018!$A$3:$G$20,2,FALSE),"")</f>
        <v/>
      </c>
      <c r="H206" s="5">
        <f>IFERROR(VLOOKUP(F206,DM_Mon_GDPT2018!$A$3:$G$20,3,FALSE),"")</f>
        <v/>
      </c>
      <c r="I206" s="5">
        <f>IFERROR(VLOOKUP(F206,DM_Mon_GDPT2018!$A$3:$G$20,5,FALSE),"")</f>
        <v/>
      </c>
      <c r="J206" s="6">
        <f>IF($I206="","",ROUND($I206*Huong_dan!$B$7/Huong_dan!$B$9,0))</f>
        <v/>
      </c>
      <c r="K206" s="6">
        <f>IF($I206="","",$I206-$J206)</f>
        <v/>
      </c>
      <c r="L206" s="6" t="n"/>
      <c r="M206" s="6">
        <f>IFERROR(VLOOKUP(L206,DM_Giao_vien!$A$3:$H$102,2,FALSE),"")</f>
        <v/>
      </c>
      <c r="N206" s="6">
        <f>IFERROR(VLOOKUP(L206,DM_Giao_vien!$A$3:$H$102,8,FALSE),"")</f>
        <v/>
      </c>
      <c r="O206" s="6" t="n"/>
      <c r="P206" s="6">
        <f>IFERROR(VLOOKUP(O206,DM_Giao_vien!$A$3:$H$102,2,FALSE),"")</f>
        <v/>
      </c>
      <c r="Q206" s="6">
        <f>IFERROR(VLOOKUP(O206,DM_Giao_vien!$A$3:$H$102,8,FALSE),"")</f>
        <v/>
      </c>
      <c r="R206" s="6" t="n"/>
    </row>
    <row r="207">
      <c r="A207" s="5" t="n">
        <v>205</v>
      </c>
      <c r="B207" s="6">
        <f>IF(D207="","",Huong_dan!$B$6)</f>
        <v/>
      </c>
      <c r="C207" s="5" t="n"/>
      <c r="D207" s="5" t="n"/>
      <c r="E207" s="5" t="n"/>
      <c r="F207" s="5" t="n"/>
      <c r="G207" s="5">
        <f>IFERROR(VLOOKUP(F207,DM_Mon_GDPT2018!$A$3:$G$20,2,FALSE),"")</f>
        <v/>
      </c>
      <c r="H207" s="5">
        <f>IFERROR(VLOOKUP(F207,DM_Mon_GDPT2018!$A$3:$G$20,3,FALSE),"")</f>
        <v/>
      </c>
      <c r="I207" s="5">
        <f>IFERROR(VLOOKUP(F207,DM_Mon_GDPT2018!$A$3:$G$20,5,FALSE),"")</f>
        <v/>
      </c>
      <c r="J207" s="6">
        <f>IF($I207="","",ROUND($I207*Huong_dan!$B$7/Huong_dan!$B$9,0))</f>
        <v/>
      </c>
      <c r="K207" s="6">
        <f>IF($I207="","",$I207-$J207)</f>
        <v/>
      </c>
      <c r="L207" s="6" t="n"/>
      <c r="M207" s="6">
        <f>IFERROR(VLOOKUP(L207,DM_Giao_vien!$A$3:$H$102,2,FALSE),"")</f>
        <v/>
      </c>
      <c r="N207" s="6">
        <f>IFERROR(VLOOKUP(L207,DM_Giao_vien!$A$3:$H$102,8,FALSE),"")</f>
        <v/>
      </c>
      <c r="O207" s="6" t="n"/>
      <c r="P207" s="6">
        <f>IFERROR(VLOOKUP(O207,DM_Giao_vien!$A$3:$H$102,2,FALSE),"")</f>
        <v/>
      </c>
      <c r="Q207" s="6">
        <f>IFERROR(VLOOKUP(O207,DM_Giao_vien!$A$3:$H$102,8,FALSE),"")</f>
        <v/>
      </c>
      <c r="R207" s="6" t="n"/>
    </row>
    <row r="208">
      <c r="A208" s="5" t="n">
        <v>206</v>
      </c>
      <c r="B208" s="6">
        <f>IF(D208="","",Huong_dan!$B$6)</f>
        <v/>
      </c>
      <c r="C208" s="5" t="n"/>
      <c r="D208" s="5" t="n"/>
      <c r="E208" s="5" t="n"/>
      <c r="F208" s="5" t="n"/>
      <c r="G208" s="5">
        <f>IFERROR(VLOOKUP(F208,DM_Mon_GDPT2018!$A$3:$G$20,2,FALSE),"")</f>
        <v/>
      </c>
      <c r="H208" s="5">
        <f>IFERROR(VLOOKUP(F208,DM_Mon_GDPT2018!$A$3:$G$20,3,FALSE),"")</f>
        <v/>
      </c>
      <c r="I208" s="5">
        <f>IFERROR(VLOOKUP(F208,DM_Mon_GDPT2018!$A$3:$G$20,5,FALSE),"")</f>
        <v/>
      </c>
      <c r="J208" s="6">
        <f>IF($I208="","",ROUND($I208*Huong_dan!$B$7/Huong_dan!$B$9,0))</f>
        <v/>
      </c>
      <c r="K208" s="6">
        <f>IF($I208="","",$I208-$J208)</f>
        <v/>
      </c>
      <c r="L208" s="6" t="n"/>
      <c r="M208" s="6">
        <f>IFERROR(VLOOKUP(L208,DM_Giao_vien!$A$3:$H$102,2,FALSE),"")</f>
        <v/>
      </c>
      <c r="N208" s="6">
        <f>IFERROR(VLOOKUP(L208,DM_Giao_vien!$A$3:$H$102,8,FALSE),"")</f>
        <v/>
      </c>
      <c r="O208" s="6" t="n"/>
      <c r="P208" s="6">
        <f>IFERROR(VLOOKUP(O208,DM_Giao_vien!$A$3:$H$102,2,FALSE),"")</f>
        <v/>
      </c>
      <c r="Q208" s="6">
        <f>IFERROR(VLOOKUP(O208,DM_Giao_vien!$A$3:$H$102,8,FALSE),"")</f>
        <v/>
      </c>
      <c r="R208" s="6" t="n"/>
    </row>
    <row r="209">
      <c r="A209" s="5" t="n">
        <v>207</v>
      </c>
      <c r="B209" s="6">
        <f>IF(D209="","",Huong_dan!$B$6)</f>
        <v/>
      </c>
      <c r="C209" s="5" t="n"/>
      <c r="D209" s="5" t="n"/>
      <c r="E209" s="5" t="n"/>
      <c r="F209" s="5" t="n"/>
      <c r="G209" s="5">
        <f>IFERROR(VLOOKUP(F209,DM_Mon_GDPT2018!$A$3:$G$20,2,FALSE),"")</f>
        <v/>
      </c>
      <c r="H209" s="5">
        <f>IFERROR(VLOOKUP(F209,DM_Mon_GDPT2018!$A$3:$G$20,3,FALSE),"")</f>
        <v/>
      </c>
      <c r="I209" s="5">
        <f>IFERROR(VLOOKUP(F209,DM_Mon_GDPT2018!$A$3:$G$20,5,FALSE),"")</f>
        <v/>
      </c>
      <c r="J209" s="6">
        <f>IF($I209="","",ROUND($I209*Huong_dan!$B$7/Huong_dan!$B$9,0))</f>
        <v/>
      </c>
      <c r="K209" s="6">
        <f>IF($I209="","",$I209-$J209)</f>
        <v/>
      </c>
      <c r="L209" s="6" t="n"/>
      <c r="M209" s="6">
        <f>IFERROR(VLOOKUP(L209,DM_Giao_vien!$A$3:$H$102,2,FALSE),"")</f>
        <v/>
      </c>
      <c r="N209" s="6">
        <f>IFERROR(VLOOKUP(L209,DM_Giao_vien!$A$3:$H$102,8,FALSE),"")</f>
        <v/>
      </c>
      <c r="O209" s="6" t="n"/>
      <c r="P209" s="6">
        <f>IFERROR(VLOOKUP(O209,DM_Giao_vien!$A$3:$H$102,2,FALSE),"")</f>
        <v/>
      </c>
      <c r="Q209" s="6">
        <f>IFERROR(VLOOKUP(O209,DM_Giao_vien!$A$3:$H$102,8,FALSE),"")</f>
        <v/>
      </c>
      <c r="R209" s="6" t="n"/>
    </row>
    <row r="210">
      <c r="A210" s="5" t="n">
        <v>208</v>
      </c>
      <c r="B210" s="6">
        <f>IF(D210="","",Huong_dan!$B$6)</f>
        <v/>
      </c>
      <c r="C210" s="5" t="n"/>
      <c r="D210" s="5" t="n"/>
      <c r="E210" s="5" t="n"/>
      <c r="F210" s="5" t="n"/>
      <c r="G210" s="5">
        <f>IFERROR(VLOOKUP(F210,DM_Mon_GDPT2018!$A$3:$G$20,2,FALSE),"")</f>
        <v/>
      </c>
      <c r="H210" s="5">
        <f>IFERROR(VLOOKUP(F210,DM_Mon_GDPT2018!$A$3:$G$20,3,FALSE),"")</f>
        <v/>
      </c>
      <c r="I210" s="5">
        <f>IFERROR(VLOOKUP(F210,DM_Mon_GDPT2018!$A$3:$G$20,5,FALSE),"")</f>
        <v/>
      </c>
      <c r="J210" s="6">
        <f>IF($I210="","",ROUND($I210*Huong_dan!$B$7/Huong_dan!$B$9,0))</f>
        <v/>
      </c>
      <c r="K210" s="6">
        <f>IF($I210="","",$I210-$J210)</f>
        <v/>
      </c>
      <c r="L210" s="6" t="n"/>
      <c r="M210" s="6">
        <f>IFERROR(VLOOKUP(L210,DM_Giao_vien!$A$3:$H$102,2,FALSE),"")</f>
        <v/>
      </c>
      <c r="N210" s="6">
        <f>IFERROR(VLOOKUP(L210,DM_Giao_vien!$A$3:$H$102,8,FALSE),"")</f>
        <v/>
      </c>
      <c r="O210" s="6" t="n"/>
      <c r="P210" s="6">
        <f>IFERROR(VLOOKUP(O210,DM_Giao_vien!$A$3:$H$102,2,FALSE),"")</f>
        <v/>
      </c>
      <c r="Q210" s="6">
        <f>IFERROR(VLOOKUP(O210,DM_Giao_vien!$A$3:$H$102,8,FALSE),"")</f>
        <v/>
      </c>
      <c r="R210" s="6" t="n"/>
    </row>
    <row r="211">
      <c r="A211" s="5" t="n">
        <v>209</v>
      </c>
      <c r="B211" s="6">
        <f>IF(D211="","",Huong_dan!$B$6)</f>
        <v/>
      </c>
      <c r="C211" s="5" t="n"/>
      <c r="D211" s="5" t="n"/>
      <c r="E211" s="5" t="n"/>
      <c r="F211" s="5" t="n"/>
      <c r="G211" s="5">
        <f>IFERROR(VLOOKUP(F211,DM_Mon_GDPT2018!$A$3:$G$20,2,FALSE),"")</f>
        <v/>
      </c>
      <c r="H211" s="5">
        <f>IFERROR(VLOOKUP(F211,DM_Mon_GDPT2018!$A$3:$G$20,3,FALSE),"")</f>
        <v/>
      </c>
      <c r="I211" s="5">
        <f>IFERROR(VLOOKUP(F211,DM_Mon_GDPT2018!$A$3:$G$20,5,FALSE),"")</f>
        <v/>
      </c>
      <c r="J211" s="6">
        <f>IF($I211="","",ROUND($I211*Huong_dan!$B$7/Huong_dan!$B$9,0))</f>
        <v/>
      </c>
      <c r="K211" s="6">
        <f>IF($I211="","",$I211-$J211)</f>
        <v/>
      </c>
      <c r="L211" s="6" t="n"/>
      <c r="M211" s="6">
        <f>IFERROR(VLOOKUP(L211,DM_Giao_vien!$A$3:$H$102,2,FALSE),"")</f>
        <v/>
      </c>
      <c r="N211" s="6">
        <f>IFERROR(VLOOKUP(L211,DM_Giao_vien!$A$3:$H$102,8,FALSE),"")</f>
        <v/>
      </c>
      <c r="O211" s="6" t="n"/>
      <c r="P211" s="6">
        <f>IFERROR(VLOOKUP(O211,DM_Giao_vien!$A$3:$H$102,2,FALSE),"")</f>
        <v/>
      </c>
      <c r="Q211" s="6">
        <f>IFERROR(VLOOKUP(O211,DM_Giao_vien!$A$3:$H$102,8,FALSE),"")</f>
        <v/>
      </c>
      <c r="R211" s="6" t="n"/>
    </row>
    <row r="212">
      <c r="A212" s="5" t="n">
        <v>210</v>
      </c>
      <c r="B212" s="6">
        <f>IF(D212="","",Huong_dan!$B$6)</f>
        <v/>
      </c>
      <c r="C212" s="5" t="n"/>
      <c r="D212" s="5" t="n"/>
      <c r="E212" s="5" t="n"/>
      <c r="F212" s="5" t="n"/>
      <c r="G212" s="5">
        <f>IFERROR(VLOOKUP(F212,DM_Mon_GDPT2018!$A$3:$G$20,2,FALSE),"")</f>
        <v/>
      </c>
      <c r="H212" s="5">
        <f>IFERROR(VLOOKUP(F212,DM_Mon_GDPT2018!$A$3:$G$20,3,FALSE),"")</f>
        <v/>
      </c>
      <c r="I212" s="5">
        <f>IFERROR(VLOOKUP(F212,DM_Mon_GDPT2018!$A$3:$G$20,5,FALSE),"")</f>
        <v/>
      </c>
      <c r="J212" s="6">
        <f>IF($I212="","",ROUND($I212*Huong_dan!$B$7/Huong_dan!$B$9,0))</f>
        <v/>
      </c>
      <c r="K212" s="6">
        <f>IF($I212="","",$I212-$J212)</f>
        <v/>
      </c>
      <c r="L212" s="6" t="n"/>
      <c r="M212" s="6">
        <f>IFERROR(VLOOKUP(L212,DM_Giao_vien!$A$3:$H$102,2,FALSE),"")</f>
        <v/>
      </c>
      <c r="N212" s="6">
        <f>IFERROR(VLOOKUP(L212,DM_Giao_vien!$A$3:$H$102,8,FALSE),"")</f>
        <v/>
      </c>
      <c r="O212" s="6" t="n"/>
      <c r="P212" s="6">
        <f>IFERROR(VLOOKUP(O212,DM_Giao_vien!$A$3:$H$102,2,FALSE),"")</f>
        <v/>
      </c>
      <c r="Q212" s="6">
        <f>IFERROR(VLOOKUP(O212,DM_Giao_vien!$A$3:$H$102,8,FALSE),"")</f>
        <v/>
      </c>
      <c r="R212" s="6" t="n"/>
    </row>
    <row r="213">
      <c r="A213" s="5" t="n">
        <v>211</v>
      </c>
      <c r="B213" s="6">
        <f>IF(D213="","",Huong_dan!$B$6)</f>
        <v/>
      </c>
      <c r="C213" s="5" t="n"/>
      <c r="D213" s="5" t="n"/>
      <c r="E213" s="5" t="n"/>
      <c r="F213" s="5" t="n"/>
      <c r="G213" s="5">
        <f>IFERROR(VLOOKUP(F213,DM_Mon_GDPT2018!$A$3:$G$20,2,FALSE),"")</f>
        <v/>
      </c>
      <c r="H213" s="5">
        <f>IFERROR(VLOOKUP(F213,DM_Mon_GDPT2018!$A$3:$G$20,3,FALSE),"")</f>
        <v/>
      </c>
      <c r="I213" s="5">
        <f>IFERROR(VLOOKUP(F213,DM_Mon_GDPT2018!$A$3:$G$20,5,FALSE),"")</f>
        <v/>
      </c>
      <c r="J213" s="6">
        <f>IF($I213="","",ROUND($I213*Huong_dan!$B$7/Huong_dan!$B$9,0))</f>
        <v/>
      </c>
      <c r="K213" s="6">
        <f>IF($I213="","",$I213-$J213)</f>
        <v/>
      </c>
      <c r="L213" s="6" t="n"/>
      <c r="M213" s="6">
        <f>IFERROR(VLOOKUP(L213,DM_Giao_vien!$A$3:$H$102,2,FALSE),"")</f>
        <v/>
      </c>
      <c r="N213" s="6">
        <f>IFERROR(VLOOKUP(L213,DM_Giao_vien!$A$3:$H$102,8,FALSE),"")</f>
        <v/>
      </c>
      <c r="O213" s="6" t="n"/>
      <c r="P213" s="6">
        <f>IFERROR(VLOOKUP(O213,DM_Giao_vien!$A$3:$H$102,2,FALSE),"")</f>
        <v/>
      </c>
      <c r="Q213" s="6">
        <f>IFERROR(VLOOKUP(O213,DM_Giao_vien!$A$3:$H$102,8,FALSE),"")</f>
        <v/>
      </c>
      <c r="R213" s="6" t="n"/>
    </row>
    <row r="214">
      <c r="A214" s="5" t="n">
        <v>212</v>
      </c>
      <c r="B214" s="6">
        <f>IF(D214="","",Huong_dan!$B$6)</f>
        <v/>
      </c>
      <c r="C214" s="5" t="n"/>
      <c r="D214" s="5" t="n"/>
      <c r="E214" s="5" t="n"/>
      <c r="F214" s="5" t="n"/>
      <c r="G214" s="5">
        <f>IFERROR(VLOOKUP(F214,DM_Mon_GDPT2018!$A$3:$G$20,2,FALSE),"")</f>
        <v/>
      </c>
      <c r="H214" s="5">
        <f>IFERROR(VLOOKUP(F214,DM_Mon_GDPT2018!$A$3:$G$20,3,FALSE),"")</f>
        <v/>
      </c>
      <c r="I214" s="5">
        <f>IFERROR(VLOOKUP(F214,DM_Mon_GDPT2018!$A$3:$G$20,5,FALSE),"")</f>
        <v/>
      </c>
      <c r="J214" s="6">
        <f>IF($I214="","",ROUND($I214*Huong_dan!$B$7/Huong_dan!$B$9,0))</f>
        <v/>
      </c>
      <c r="K214" s="6">
        <f>IF($I214="","",$I214-$J214)</f>
        <v/>
      </c>
      <c r="L214" s="6" t="n"/>
      <c r="M214" s="6">
        <f>IFERROR(VLOOKUP(L214,DM_Giao_vien!$A$3:$H$102,2,FALSE),"")</f>
        <v/>
      </c>
      <c r="N214" s="6">
        <f>IFERROR(VLOOKUP(L214,DM_Giao_vien!$A$3:$H$102,8,FALSE),"")</f>
        <v/>
      </c>
      <c r="O214" s="6" t="n"/>
      <c r="P214" s="6">
        <f>IFERROR(VLOOKUP(O214,DM_Giao_vien!$A$3:$H$102,2,FALSE),"")</f>
        <v/>
      </c>
      <c r="Q214" s="6">
        <f>IFERROR(VLOOKUP(O214,DM_Giao_vien!$A$3:$H$102,8,FALSE),"")</f>
        <v/>
      </c>
      <c r="R214" s="6" t="n"/>
    </row>
    <row r="215">
      <c r="A215" s="5" t="n">
        <v>213</v>
      </c>
      <c r="B215" s="6">
        <f>IF(D215="","",Huong_dan!$B$6)</f>
        <v/>
      </c>
      <c r="C215" s="5" t="n"/>
      <c r="D215" s="5" t="n"/>
      <c r="E215" s="5" t="n"/>
      <c r="F215" s="5" t="n"/>
      <c r="G215" s="5">
        <f>IFERROR(VLOOKUP(F215,DM_Mon_GDPT2018!$A$3:$G$20,2,FALSE),"")</f>
        <v/>
      </c>
      <c r="H215" s="5">
        <f>IFERROR(VLOOKUP(F215,DM_Mon_GDPT2018!$A$3:$G$20,3,FALSE),"")</f>
        <v/>
      </c>
      <c r="I215" s="5">
        <f>IFERROR(VLOOKUP(F215,DM_Mon_GDPT2018!$A$3:$G$20,5,FALSE),"")</f>
        <v/>
      </c>
      <c r="J215" s="6">
        <f>IF($I215="","",ROUND($I215*Huong_dan!$B$7/Huong_dan!$B$9,0))</f>
        <v/>
      </c>
      <c r="K215" s="6">
        <f>IF($I215="","",$I215-$J215)</f>
        <v/>
      </c>
      <c r="L215" s="6" t="n"/>
      <c r="M215" s="6">
        <f>IFERROR(VLOOKUP(L215,DM_Giao_vien!$A$3:$H$102,2,FALSE),"")</f>
        <v/>
      </c>
      <c r="N215" s="6">
        <f>IFERROR(VLOOKUP(L215,DM_Giao_vien!$A$3:$H$102,8,FALSE),"")</f>
        <v/>
      </c>
      <c r="O215" s="6" t="n"/>
      <c r="P215" s="6">
        <f>IFERROR(VLOOKUP(O215,DM_Giao_vien!$A$3:$H$102,2,FALSE),"")</f>
        <v/>
      </c>
      <c r="Q215" s="6">
        <f>IFERROR(VLOOKUP(O215,DM_Giao_vien!$A$3:$H$102,8,FALSE),"")</f>
        <v/>
      </c>
      <c r="R215" s="6" t="n"/>
    </row>
    <row r="216">
      <c r="A216" s="5" t="n">
        <v>214</v>
      </c>
      <c r="B216" s="6">
        <f>IF(D216="","",Huong_dan!$B$6)</f>
        <v/>
      </c>
      <c r="C216" s="5" t="n"/>
      <c r="D216" s="5" t="n"/>
      <c r="E216" s="5" t="n"/>
      <c r="F216" s="5" t="n"/>
      <c r="G216" s="5">
        <f>IFERROR(VLOOKUP(F216,DM_Mon_GDPT2018!$A$3:$G$20,2,FALSE),"")</f>
        <v/>
      </c>
      <c r="H216" s="5">
        <f>IFERROR(VLOOKUP(F216,DM_Mon_GDPT2018!$A$3:$G$20,3,FALSE),"")</f>
        <v/>
      </c>
      <c r="I216" s="5">
        <f>IFERROR(VLOOKUP(F216,DM_Mon_GDPT2018!$A$3:$G$20,5,FALSE),"")</f>
        <v/>
      </c>
      <c r="J216" s="6">
        <f>IF($I216="","",ROUND($I216*Huong_dan!$B$7/Huong_dan!$B$9,0))</f>
        <v/>
      </c>
      <c r="K216" s="6">
        <f>IF($I216="","",$I216-$J216)</f>
        <v/>
      </c>
      <c r="L216" s="6" t="n"/>
      <c r="M216" s="6">
        <f>IFERROR(VLOOKUP(L216,DM_Giao_vien!$A$3:$H$102,2,FALSE),"")</f>
        <v/>
      </c>
      <c r="N216" s="6">
        <f>IFERROR(VLOOKUP(L216,DM_Giao_vien!$A$3:$H$102,8,FALSE),"")</f>
        <v/>
      </c>
      <c r="O216" s="6" t="n"/>
      <c r="P216" s="6">
        <f>IFERROR(VLOOKUP(O216,DM_Giao_vien!$A$3:$H$102,2,FALSE),"")</f>
        <v/>
      </c>
      <c r="Q216" s="6">
        <f>IFERROR(VLOOKUP(O216,DM_Giao_vien!$A$3:$H$102,8,FALSE),"")</f>
        <v/>
      </c>
      <c r="R216" s="6" t="n"/>
    </row>
    <row r="217">
      <c r="A217" s="5" t="n">
        <v>215</v>
      </c>
      <c r="B217" s="6">
        <f>IF(D217="","",Huong_dan!$B$6)</f>
        <v/>
      </c>
      <c r="C217" s="5" t="n"/>
      <c r="D217" s="5" t="n"/>
      <c r="E217" s="5" t="n"/>
      <c r="F217" s="5" t="n"/>
      <c r="G217" s="5">
        <f>IFERROR(VLOOKUP(F217,DM_Mon_GDPT2018!$A$3:$G$20,2,FALSE),"")</f>
        <v/>
      </c>
      <c r="H217" s="5">
        <f>IFERROR(VLOOKUP(F217,DM_Mon_GDPT2018!$A$3:$G$20,3,FALSE),"")</f>
        <v/>
      </c>
      <c r="I217" s="5">
        <f>IFERROR(VLOOKUP(F217,DM_Mon_GDPT2018!$A$3:$G$20,5,FALSE),"")</f>
        <v/>
      </c>
      <c r="J217" s="6">
        <f>IF($I217="","",ROUND($I217*Huong_dan!$B$7/Huong_dan!$B$9,0))</f>
        <v/>
      </c>
      <c r="K217" s="6">
        <f>IF($I217="","",$I217-$J217)</f>
        <v/>
      </c>
      <c r="L217" s="6" t="n"/>
      <c r="M217" s="6">
        <f>IFERROR(VLOOKUP(L217,DM_Giao_vien!$A$3:$H$102,2,FALSE),"")</f>
        <v/>
      </c>
      <c r="N217" s="6">
        <f>IFERROR(VLOOKUP(L217,DM_Giao_vien!$A$3:$H$102,8,FALSE),"")</f>
        <v/>
      </c>
      <c r="O217" s="6" t="n"/>
      <c r="P217" s="6">
        <f>IFERROR(VLOOKUP(O217,DM_Giao_vien!$A$3:$H$102,2,FALSE),"")</f>
        <v/>
      </c>
      <c r="Q217" s="6">
        <f>IFERROR(VLOOKUP(O217,DM_Giao_vien!$A$3:$H$102,8,FALSE),"")</f>
        <v/>
      </c>
      <c r="R217" s="6" t="n"/>
    </row>
    <row r="218">
      <c r="A218" s="5" t="n">
        <v>216</v>
      </c>
      <c r="B218" s="6">
        <f>IF(D218="","",Huong_dan!$B$6)</f>
        <v/>
      </c>
      <c r="C218" s="5" t="n"/>
      <c r="D218" s="5" t="n"/>
      <c r="E218" s="5" t="n"/>
      <c r="F218" s="5" t="n"/>
      <c r="G218" s="5">
        <f>IFERROR(VLOOKUP(F218,DM_Mon_GDPT2018!$A$3:$G$20,2,FALSE),"")</f>
        <v/>
      </c>
      <c r="H218" s="5">
        <f>IFERROR(VLOOKUP(F218,DM_Mon_GDPT2018!$A$3:$G$20,3,FALSE),"")</f>
        <v/>
      </c>
      <c r="I218" s="5">
        <f>IFERROR(VLOOKUP(F218,DM_Mon_GDPT2018!$A$3:$G$20,5,FALSE),"")</f>
        <v/>
      </c>
      <c r="J218" s="6">
        <f>IF($I218="","",ROUND($I218*Huong_dan!$B$7/Huong_dan!$B$9,0))</f>
        <v/>
      </c>
      <c r="K218" s="6">
        <f>IF($I218="","",$I218-$J218)</f>
        <v/>
      </c>
      <c r="L218" s="6" t="n"/>
      <c r="M218" s="6">
        <f>IFERROR(VLOOKUP(L218,DM_Giao_vien!$A$3:$H$102,2,FALSE),"")</f>
        <v/>
      </c>
      <c r="N218" s="6">
        <f>IFERROR(VLOOKUP(L218,DM_Giao_vien!$A$3:$H$102,8,FALSE),"")</f>
        <v/>
      </c>
      <c r="O218" s="6" t="n"/>
      <c r="P218" s="6">
        <f>IFERROR(VLOOKUP(O218,DM_Giao_vien!$A$3:$H$102,2,FALSE),"")</f>
        <v/>
      </c>
      <c r="Q218" s="6">
        <f>IFERROR(VLOOKUP(O218,DM_Giao_vien!$A$3:$H$102,8,FALSE),"")</f>
        <v/>
      </c>
      <c r="R218" s="6" t="n"/>
    </row>
    <row r="219">
      <c r="A219" s="5" t="n">
        <v>217</v>
      </c>
      <c r="B219" s="6">
        <f>IF(D219="","",Huong_dan!$B$6)</f>
        <v/>
      </c>
      <c r="C219" s="5" t="n"/>
      <c r="D219" s="5" t="n"/>
      <c r="E219" s="5" t="n"/>
      <c r="F219" s="5" t="n"/>
      <c r="G219" s="5">
        <f>IFERROR(VLOOKUP(F219,DM_Mon_GDPT2018!$A$3:$G$20,2,FALSE),"")</f>
        <v/>
      </c>
      <c r="H219" s="5">
        <f>IFERROR(VLOOKUP(F219,DM_Mon_GDPT2018!$A$3:$G$20,3,FALSE),"")</f>
        <v/>
      </c>
      <c r="I219" s="5">
        <f>IFERROR(VLOOKUP(F219,DM_Mon_GDPT2018!$A$3:$G$20,5,FALSE),"")</f>
        <v/>
      </c>
      <c r="J219" s="6">
        <f>IF($I219="","",ROUND($I219*Huong_dan!$B$7/Huong_dan!$B$9,0))</f>
        <v/>
      </c>
      <c r="K219" s="6">
        <f>IF($I219="","",$I219-$J219)</f>
        <v/>
      </c>
      <c r="L219" s="6" t="n"/>
      <c r="M219" s="6">
        <f>IFERROR(VLOOKUP(L219,DM_Giao_vien!$A$3:$H$102,2,FALSE),"")</f>
        <v/>
      </c>
      <c r="N219" s="6">
        <f>IFERROR(VLOOKUP(L219,DM_Giao_vien!$A$3:$H$102,8,FALSE),"")</f>
        <v/>
      </c>
      <c r="O219" s="6" t="n"/>
      <c r="P219" s="6">
        <f>IFERROR(VLOOKUP(O219,DM_Giao_vien!$A$3:$H$102,2,FALSE),"")</f>
        <v/>
      </c>
      <c r="Q219" s="6">
        <f>IFERROR(VLOOKUP(O219,DM_Giao_vien!$A$3:$H$102,8,FALSE),"")</f>
        <v/>
      </c>
      <c r="R219" s="6" t="n"/>
    </row>
    <row r="220">
      <c r="A220" s="5" t="n">
        <v>218</v>
      </c>
      <c r="B220" s="6">
        <f>IF(D220="","",Huong_dan!$B$6)</f>
        <v/>
      </c>
      <c r="C220" s="5" t="n"/>
      <c r="D220" s="5" t="n"/>
      <c r="E220" s="5" t="n"/>
      <c r="F220" s="5" t="n"/>
      <c r="G220" s="5">
        <f>IFERROR(VLOOKUP(F220,DM_Mon_GDPT2018!$A$3:$G$20,2,FALSE),"")</f>
        <v/>
      </c>
      <c r="H220" s="5">
        <f>IFERROR(VLOOKUP(F220,DM_Mon_GDPT2018!$A$3:$G$20,3,FALSE),"")</f>
        <v/>
      </c>
      <c r="I220" s="5">
        <f>IFERROR(VLOOKUP(F220,DM_Mon_GDPT2018!$A$3:$G$20,5,FALSE),"")</f>
        <v/>
      </c>
      <c r="J220" s="6">
        <f>IF($I220="","",ROUND($I220*Huong_dan!$B$7/Huong_dan!$B$9,0))</f>
        <v/>
      </c>
      <c r="K220" s="6">
        <f>IF($I220="","",$I220-$J220)</f>
        <v/>
      </c>
      <c r="L220" s="6" t="n"/>
      <c r="M220" s="6">
        <f>IFERROR(VLOOKUP(L220,DM_Giao_vien!$A$3:$H$102,2,FALSE),"")</f>
        <v/>
      </c>
      <c r="N220" s="6">
        <f>IFERROR(VLOOKUP(L220,DM_Giao_vien!$A$3:$H$102,8,FALSE),"")</f>
        <v/>
      </c>
      <c r="O220" s="6" t="n"/>
      <c r="P220" s="6">
        <f>IFERROR(VLOOKUP(O220,DM_Giao_vien!$A$3:$H$102,2,FALSE),"")</f>
        <v/>
      </c>
      <c r="Q220" s="6">
        <f>IFERROR(VLOOKUP(O220,DM_Giao_vien!$A$3:$H$102,8,FALSE),"")</f>
        <v/>
      </c>
      <c r="R220" s="6" t="n"/>
    </row>
    <row r="221">
      <c r="A221" s="5" t="n">
        <v>219</v>
      </c>
      <c r="B221" s="6">
        <f>IF(D221="","",Huong_dan!$B$6)</f>
        <v/>
      </c>
      <c r="C221" s="5" t="n"/>
      <c r="D221" s="5" t="n"/>
      <c r="E221" s="5" t="n"/>
      <c r="F221" s="5" t="n"/>
      <c r="G221" s="5">
        <f>IFERROR(VLOOKUP(F221,DM_Mon_GDPT2018!$A$3:$G$20,2,FALSE),"")</f>
        <v/>
      </c>
      <c r="H221" s="5">
        <f>IFERROR(VLOOKUP(F221,DM_Mon_GDPT2018!$A$3:$G$20,3,FALSE),"")</f>
        <v/>
      </c>
      <c r="I221" s="5">
        <f>IFERROR(VLOOKUP(F221,DM_Mon_GDPT2018!$A$3:$G$20,5,FALSE),"")</f>
        <v/>
      </c>
      <c r="J221" s="6">
        <f>IF($I221="","",ROUND($I221*Huong_dan!$B$7/Huong_dan!$B$9,0))</f>
        <v/>
      </c>
      <c r="K221" s="6">
        <f>IF($I221="","",$I221-$J221)</f>
        <v/>
      </c>
      <c r="L221" s="6" t="n"/>
      <c r="M221" s="6">
        <f>IFERROR(VLOOKUP(L221,DM_Giao_vien!$A$3:$H$102,2,FALSE),"")</f>
        <v/>
      </c>
      <c r="N221" s="6">
        <f>IFERROR(VLOOKUP(L221,DM_Giao_vien!$A$3:$H$102,8,FALSE),"")</f>
        <v/>
      </c>
      <c r="O221" s="6" t="n"/>
      <c r="P221" s="6">
        <f>IFERROR(VLOOKUP(O221,DM_Giao_vien!$A$3:$H$102,2,FALSE),"")</f>
        <v/>
      </c>
      <c r="Q221" s="6">
        <f>IFERROR(VLOOKUP(O221,DM_Giao_vien!$A$3:$H$102,8,FALSE),"")</f>
        <v/>
      </c>
      <c r="R221" s="6" t="n"/>
    </row>
    <row r="222">
      <c r="A222" s="5" t="n">
        <v>220</v>
      </c>
      <c r="B222" s="6">
        <f>IF(D222="","",Huong_dan!$B$6)</f>
        <v/>
      </c>
      <c r="C222" s="5" t="n"/>
      <c r="D222" s="5" t="n"/>
      <c r="E222" s="5" t="n"/>
      <c r="F222" s="5" t="n"/>
      <c r="G222" s="5">
        <f>IFERROR(VLOOKUP(F222,DM_Mon_GDPT2018!$A$3:$G$20,2,FALSE),"")</f>
        <v/>
      </c>
      <c r="H222" s="5">
        <f>IFERROR(VLOOKUP(F222,DM_Mon_GDPT2018!$A$3:$G$20,3,FALSE),"")</f>
        <v/>
      </c>
      <c r="I222" s="5">
        <f>IFERROR(VLOOKUP(F222,DM_Mon_GDPT2018!$A$3:$G$20,5,FALSE),"")</f>
        <v/>
      </c>
      <c r="J222" s="6">
        <f>IF($I222="","",ROUND($I222*Huong_dan!$B$7/Huong_dan!$B$9,0))</f>
        <v/>
      </c>
      <c r="K222" s="6">
        <f>IF($I222="","",$I222-$J222)</f>
        <v/>
      </c>
      <c r="L222" s="6" t="n"/>
      <c r="M222" s="6">
        <f>IFERROR(VLOOKUP(L222,DM_Giao_vien!$A$3:$H$102,2,FALSE),"")</f>
        <v/>
      </c>
      <c r="N222" s="6">
        <f>IFERROR(VLOOKUP(L222,DM_Giao_vien!$A$3:$H$102,8,FALSE),"")</f>
        <v/>
      </c>
      <c r="O222" s="6" t="n"/>
      <c r="P222" s="6">
        <f>IFERROR(VLOOKUP(O222,DM_Giao_vien!$A$3:$H$102,2,FALSE),"")</f>
        <v/>
      </c>
      <c r="Q222" s="6">
        <f>IFERROR(VLOOKUP(O222,DM_Giao_vien!$A$3:$H$102,8,FALSE),"")</f>
        <v/>
      </c>
      <c r="R222" s="6" t="n"/>
    </row>
    <row r="223">
      <c r="A223" s="5" t="n">
        <v>221</v>
      </c>
      <c r="B223" s="6">
        <f>IF(D223="","",Huong_dan!$B$6)</f>
        <v/>
      </c>
      <c r="C223" s="5" t="n"/>
      <c r="D223" s="5" t="n"/>
      <c r="E223" s="5" t="n"/>
      <c r="F223" s="5" t="n"/>
      <c r="G223" s="5">
        <f>IFERROR(VLOOKUP(F223,DM_Mon_GDPT2018!$A$3:$G$20,2,FALSE),"")</f>
        <v/>
      </c>
      <c r="H223" s="5">
        <f>IFERROR(VLOOKUP(F223,DM_Mon_GDPT2018!$A$3:$G$20,3,FALSE),"")</f>
        <v/>
      </c>
      <c r="I223" s="5">
        <f>IFERROR(VLOOKUP(F223,DM_Mon_GDPT2018!$A$3:$G$20,5,FALSE),"")</f>
        <v/>
      </c>
      <c r="J223" s="6">
        <f>IF($I223="","",ROUND($I223*Huong_dan!$B$7/Huong_dan!$B$9,0))</f>
        <v/>
      </c>
      <c r="K223" s="6">
        <f>IF($I223="","",$I223-$J223)</f>
        <v/>
      </c>
      <c r="L223" s="6" t="n"/>
      <c r="M223" s="6">
        <f>IFERROR(VLOOKUP(L223,DM_Giao_vien!$A$3:$H$102,2,FALSE),"")</f>
        <v/>
      </c>
      <c r="N223" s="6">
        <f>IFERROR(VLOOKUP(L223,DM_Giao_vien!$A$3:$H$102,8,FALSE),"")</f>
        <v/>
      </c>
      <c r="O223" s="6" t="n"/>
      <c r="P223" s="6">
        <f>IFERROR(VLOOKUP(O223,DM_Giao_vien!$A$3:$H$102,2,FALSE),"")</f>
        <v/>
      </c>
      <c r="Q223" s="6">
        <f>IFERROR(VLOOKUP(O223,DM_Giao_vien!$A$3:$H$102,8,FALSE),"")</f>
        <v/>
      </c>
      <c r="R223" s="6" t="n"/>
    </row>
    <row r="224">
      <c r="A224" s="5" t="n">
        <v>222</v>
      </c>
      <c r="B224" s="6">
        <f>IF(D224="","",Huong_dan!$B$6)</f>
        <v/>
      </c>
      <c r="C224" s="5" t="n"/>
      <c r="D224" s="5" t="n"/>
      <c r="E224" s="5" t="n"/>
      <c r="F224" s="5" t="n"/>
      <c r="G224" s="5">
        <f>IFERROR(VLOOKUP(F224,DM_Mon_GDPT2018!$A$3:$G$20,2,FALSE),"")</f>
        <v/>
      </c>
      <c r="H224" s="5">
        <f>IFERROR(VLOOKUP(F224,DM_Mon_GDPT2018!$A$3:$G$20,3,FALSE),"")</f>
        <v/>
      </c>
      <c r="I224" s="5">
        <f>IFERROR(VLOOKUP(F224,DM_Mon_GDPT2018!$A$3:$G$20,5,FALSE),"")</f>
        <v/>
      </c>
      <c r="J224" s="6">
        <f>IF($I224="","",ROUND($I224*Huong_dan!$B$7/Huong_dan!$B$9,0))</f>
        <v/>
      </c>
      <c r="K224" s="6">
        <f>IF($I224="","",$I224-$J224)</f>
        <v/>
      </c>
      <c r="L224" s="6" t="n"/>
      <c r="M224" s="6">
        <f>IFERROR(VLOOKUP(L224,DM_Giao_vien!$A$3:$H$102,2,FALSE),"")</f>
        <v/>
      </c>
      <c r="N224" s="6">
        <f>IFERROR(VLOOKUP(L224,DM_Giao_vien!$A$3:$H$102,8,FALSE),"")</f>
        <v/>
      </c>
      <c r="O224" s="6" t="n"/>
      <c r="P224" s="6">
        <f>IFERROR(VLOOKUP(O224,DM_Giao_vien!$A$3:$H$102,2,FALSE),"")</f>
        <v/>
      </c>
      <c r="Q224" s="6">
        <f>IFERROR(VLOOKUP(O224,DM_Giao_vien!$A$3:$H$102,8,FALSE),"")</f>
        <v/>
      </c>
      <c r="R224" s="6" t="n"/>
    </row>
    <row r="225">
      <c r="A225" s="5" t="n">
        <v>223</v>
      </c>
      <c r="B225" s="6">
        <f>IF(D225="","",Huong_dan!$B$6)</f>
        <v/>
      </c>
      <c r="C225" s="5" t="n"/>
      <c r="D225" s="5" t="n"/>
      <c r="E225" s="5" t="n"/>
      <c r="F225" s="5" t="n"/>
      <c r="G225" s="5">
        <f>IFERROR(VLOOKUP(F225,DM_Mon_GDPT2018!$A$3:$G$20,2,FALSE),"")</f>
        <v/>
      </c>
      <c r="H225" s="5">
        <f>IFERROR(VLOOKUP(F225,DM_Mon_GDPT2018!$A$3:$G$20,3,FALSE),"")</f>
        <v/>
      </c>
      <c r="I225" s="5">
        <f>IFERROR(VLOOKUP(F225,DM_Mon_GDPT2018!$A$3:$G$20,5,FALSE),"")</f>
        <v/>
      </c>
      <c r="J225" s="6">
        <f>IF($I225="","",ROUND($I225*Huong_dan!$B$7/Huong_dan!$B$9,0))</f>
        <v/>
      </c>
      <c r="K225" s="6">
        <f>IF($I225="","",$I225-$J225)</f>
        <v/>
      </c>
      <c r="L225" s="6" t="n"/>
      <c r="M225" s="6">
        <f>IFERROR(VLOOKUP(L225,DM_Giao_vien!$A$3:$H$102,2,FALSE),"")</f>
        <v/>
      </c>
      <c r="N225" s="6">
        <f>IFERROR(VLOOKUP(L225,DM_Giao_vien!$A$3:$H$102,8,FALSE),"")</f>
        <v/>
      </c>
      <c r="O225" s="6" t="n"/>
      <c r="P225" s="6">
        <f>IFERROR(VLOOKUP(O225,DM_Giao_vien!$A$3:$H$102,2,FALSE),"")</f>
        <v/>
      </c>
      <c r="Q225" s="6">
        <f>IFERROR(VLOOKUP(O225,DM_Giao_vien!$A$3:$H$102,8,FALSE),"")</f>
        <v/>
      </c>
      <c r="R225" s="6" t="n"/>
    </row>
    <row r="226">
      <c r="A226" s="5" t="n">
        <v>224</v>
      </c>
      <c r="B226" s="6">
        <f>IF(D226="","",Huong_dan!$B$6)</f>
        <v/>
      </c>
      <c r="C226" s="5" t="n"/>
      <c r="D226" s="5" t="n"/>
      <c r="E226" s="5" t="n"/>
      <c r="F226" s="5" t="n"/>
      <c r="G226" s="5">
        <f>IFERROR(VLOOKUP(F226,DM_Mon_GDPT2018!$A$3:$G$20,2,FALSE),"")</f>
        <v/>
      </c>
      <c r="H226" s="5">
        <f>IFERROR(VLOOKUP(F226,DM_Mon_GDPT2018!$A$3:$G$20,3,FALSE),"")</f>
        <v/>
      </c>
      <c r="I226" s="5">
        <f>IFERROR(VLOOKUP(F226,DM_Mon_GDPT2018!$A$3:$G$20,5,FALSE),"")</f>
        <v/>
      </c>
      <c r="J226" s="6">
        <f>IF($I226="","",ROUND($I226*Huong_dan!$B$7/Huong_dan!$B$9,0))</f>
        <v/>
      </c>
      <c r="K226" s="6">
        <f>IF($I226="","",$I226-$J226)</f>
        <v/>
      </c>
      <c r="L226" s="6" t="n"/>
      <c r="M226" s="6">
        <f>IFERROR(VLOOKUP(L226,DM_Giao_vien!$A$3:$H$102,2,FALSE),"")</f>
        <v/>
      </c>
      <c r="N226" s="6">
        <f>IFERROR(VLOOKUP(L226,DM_Giao_vien!$A$3:$H$102,8,FALSE),"")</f>
        <v/>
      </c>
      <c r="O226" s="6" t="n"/>
      <c r="P226" s="6">
        <f>IFERROR(VLOOKUP(O226,DM_Giao_vien!$A$3:$H$102,2,FALSE),"")</f>
        <v/>
      </c>
      <c r="Q226" s="6">
        <f>IFERROR(VLOOKUP(O226,DM_Giao_vien!$A$3:$H$102,8,FALSE),"")</f>
        <v/>
      </c>
      <c r="R226" s="6" t="n"/>
    </row>
    <row r="227">
      <c r="A227" s="5" t="n">
        <v>225</v>
      </c>
      <c r="B227" s="6">
        <f>IF(D227="","",Huong_dan!$B$6)</f>
        <v/>
      </c>
      <c r="C227" s="5" t="n"/>
      <c r="D227" s="5" t="n"/>
      <c r="E227" s="5" t="n"/>
      <c r="F227" s="5" t="n"/>
      <c r="G227" s="5">
        <f>IFERROR(VLOOKUP(F227,DM_Mon_GDPT2018!$A$3:$G$20,2,FALSE),"")</f>
        <v/>
      </c>
      <c r="H227" s="5">
        <f>IFERROR(VLOOKUP(F227,DM_Mon_GDPT2018!$A$3:$G$20,3,FALSE),"")</f>
        <v/>
      </c>
      <c r="I227" s="5">
        <f>IFERROR(VLOOKUP(F227,DM_Mon_GDPT2018!$A$3:$G$20,5,FALSE),"")</f>
        <v/>
      </c>
      <c r="J227" s="6">
        <f>IF($I227="","",ROUND($I227*Huong_dan!$B$7/Huong_dan!$B$9,0))</f>
        <v/>
      </c>
      <c r="K227" s="6">
        <f>IF($I227="","",$I227-$J227)</f>
        <v/>
      </c>
      <c r="L227" s="6" t="n"/>
      <c r="M227" s="6">
        <f>IFERROR(VLOOKUP(L227,DM_Giao_vien!$A$3:$H$102,2,FALSE),"")</f>
        <v/>
      </c>
      <c r="N227" s="6">
        <f>IFERROR(VLOOKUP(L227,DM_Giao_vien!$A$3:$H$102,8,FALSE),"")</f>
        <v/>
      </c>
      <c r="O227" s="6" t="n"/>
      <c r="P227" s="6">
        <f>IFERROR(VLOOKUP(O227,DM_Giao_vien!$A$3:$H$102,2,FALSE),"")</f>
        <v/>
      </c>
      <c r="Q227" s="6">
        <f>IFERROR(VLOOKUP(O227,DM_Giao_vien!$A$3:$H$102,8,FALSE),"")</f>
        <v/>
      </c>
      <c r="R227" s="6" t="n"/>
    </row>
    <row r="228">
      <c r="A228" s="5" t="n">
        <v>226</v>
      </c>
      <c r="B228" s="6">
        <f>IF(D228="","",Huong_dan!$B$6)</f>
        <v/>
      </c>
      <c r="C228" s="5" t="n"/>
      <c r="D228" s="5" t="n"/>
      <c r="E228" s="5" t="n"/>
      <c r="F228" s="5" t="n"/>
      <c r="G228" s="5">
        <f>IFERROR(VLOOKUP(F228,DM_Mon_GDPT2018!$A$3:$G$20,2,FALSE),"")</f>
        <v/>
      </c>
      <c r="H228" s="5">
        <f>IFERROR(VLOOKUP(F228,DM_Mon_GDPT2018!$A$3:$G$20,3,FALSE),"")</f>
        <v/>
      </c>
      <c r="I228" s="5">
        <f>IFERROR(VLOOKUP(F228,DM_Mon_GDPT2018!$A$3:$G$20,5,FALSE),"")</f>
        <v/>
      </c>
      <c r="J228" s="6">
        <f>IF($I228="","",ROUND($I228*Huong_dan!$B$7/Huong_dan!$B$9,0))</f>
        <v/>
      </c>
      <c r="K228" s="6">
        <f>IF($I228="","",$I228-$J228)</f>
        <v/>
      </c>
      <c r="L228" s="6" t="n"/>
      <c r="M228" s="6">
        <f>IFERROR(VLOOKUP(L228,DM_Giao_vien!$A$3:$H$102,2,FALSE),"")</f>
        <v/>
      </c>
      <c r="N228" s="6">
        <f>IFERROR(VLOOKUP(L228,DM_Giao_vien!$A$3:$H$102,8,FALSE),"")</f>
        <v/>
      </c>
      <c r="O228" s="6" t="n"/>
      <c r="P228" s="6">
        <f>IFERROR(VLOOKUP(O228,DM_Giao_vien!$A$3:$H$102,2,FALSE),"")</f>
        <v/>
      </c>
      <c r="Q228" s="6">
        <f>IFERROR(VLOOKUP(O228,DM_Giao_vien!$A$3:$H$102,8,FALSE),"")</f>
        <v/>
      </c>
      <c r="R228" s="6" t="n"/>
    </row>
    <row r="229">
      <c r="A229" s="5" t="n">
        <v>227</v>
      </c>
      <c r="B229" s="6">
        <f>IF(D229="","",Huong_dan!$B$6)</f>
        <v/>
      </c>
      <c r="C229" s="5" t="n"/>
      <c r="D229" s="5" t="n"/>
      <c r="E229" s="5" t="n"/>
      <c r="F229" s="5" t="n"/>
      <c r="G229" s="5">
        <f>IFERROR(VLOOKUP(F229,DM_Mon_GDPT2018!$A$3:$G$20,2,FALSE),"")</f>
        <v/>
      </c>
      <c r="H229" s="5">
        <f>IFERROR(VLOOKUP(F229,DM_Mon_GDPT2018!$A$3:$G$20,3,FALSE),"")</f>
        <v/>
      </c>
      <c r="I229" s="5">
        <f>IFERROR(VLOOKUP(F229,DM_Mon_GDPT2018!$A$3:$G$20,5,FALSE),"")</f>
        <v/>
      </c>
      <c r="J229" s="6">
        <f>IF($I229="","",ROUND($I229*Huong_dan!$B$7/Huong_dan!$B$9,0))</f>
        <v/>
      </c>
      <c r="K229" s="6">
        <f>IF($I229="","",$I229-$J229)</f>
        <v/>
      </c>
      <c r="L229" s="6" t="n"/>
      <c r="M229" s="6">
        <f>IFERROR(VLOOKUP(L229,DM_Giao_vien!$A$3:$H$102,2,FALSE),"")</f>
        <v/>
      </c>
      <c r="N229" s="6">
        <f>IFERROR(VLOOKUP(L229,DM_Giao_vien!$A$3:$H$102,8,FALSE),"")</f>
        <v/>
      </c>
      <c r="O229" s="6" t="n"/>
      <c r="P229" s="6">
        <f>IFERROR(VLOOKUP(O229,DM_Giao_vien!$A$3:$H$102,2,FALSE),"")</f>
        <v/>
      </c>
      <c r="Q229" s="6">
        <f>IFERROR(VLOOKUP(O229,DM_Giao_vien!$A$3:$H$102,8,FALSE),"")</f>
        <v/>
      </c>
      <c r="R229" s="6" t="n"/>
    </row>
    <row r="230">
      <c r="A230" s="5" t="n">
        <v>228</v>
      </c>
      <c r="B230" s="6">
        <f>IF(D230="","",Huong_dan!$B$6)</f>
        <v/>
      </c>
      <c r="C230" s="5" t="n"/>
      <c r="D230" s="5" t="n"/>
      <c r="E230" s="5" t="n"/>
      <c r="F230" s="5" t="n"/>
      <c r="G230" s="5">
        <f>IFERROR(VLOOKUP(F230,DM_Mon_GDPT2018!$A$3:$G$20,2,FALSE),"")</f>
        <v/>
      </c>
      <c r="H230" s="5">
        <f>IFERROR(VLOOKUP(F230,DM_Mon_GDPT2018!$A$3:$G$20,3,FALSE),"")</f>
        <v/>
      </c>
      <c r="I230" s="5">
        <f>IFERROR(VLOOKUP(F230,DM_Mon_GDPT2018!$A$3:$G$20,5,FALSE),"")</f>
        <v/>
      </c>
      <c r="J230" s="6">
        <f>IF($I230="","",ROUND($I230*Huong_dan!$B$7/Huong_dan!$B$9,0))</f>
        <v/>
      </c>
      <c r="K230" s="6">
        <f>IF($I230="","",$I230-$J230)</f>
        <v/>
      </c>
      <c r="L230" s="6" t="n"/>
      <c r="M230" s="6">
        <f>IFERROR(VLOOKUP(L230,DM_Giao_vien!$A$3:$H$102,2,FALSE),"")</f>
        <v/>
      </c>
      <c r="N230" s="6">
        <f>IFERROR(VLOOKUP(L230,DM_Giao_vien!$A$3:$H$102,8,FALSE),"")</f>
        <v/>
      </c>
      <c r="O230" s="6" t="n"/>
      <c r="P230" s="6">
        <f>IFERROR(VLOOKUP(O230,DM_Giao_vien!$A$3:$H$102,2,FALSE),"")</f>
        <v/>
      </c>
      <c r="Q230" s="6">
        <f>IFERROR(VLOOKUP(O230,DM_Giao_vien!$A$3:$H$102,8,FALSE),"")</f>
        <v/>
      </c>
      <c r="R230" s="6" t="n"/>
    </row>
    <row r="231">
      <c r="A231" s="5" t="n">
        <v>229</v>
      </c>
      <c r="B231" s="6">
        <f>IF(D231="","",Huong_dan!$B$6)</f>
        <v/>
      </c>
      <c r="C231" s="5" t="n"/>
      <c r="D231" s="5" t="n"/>
      <c r="E231" s="5" t="n"/>
      <c r="F231" s="5" t="n"/>
      <c r="G231" s="5">
        <f>IFERROR(VLOOKUP(F231,DM_Mon_GDPT2018!$A$3:$G$20,2,FALSE),"")</f>
        <v/>
      </c>
      <c r="H231" s="5">
        <f>IFERROR(VLOOKUP(F231,DM_Mon_GDPT2018!$A$3:$G$20,3,FALSE),"")</f>
        <v/>
      </c>
      <c r="I231" s="5">
        <f>IFERROR(VLOOKUP(F231,DM_Mon_GDPT2018!$A$3:$G$20,5,FALSE),"")</f>
        <v/>
      </c>
      <c r="J231" s="6">
        <f>IF($I231="","",ROUND($I231*Huong_dan!$B$7/Huong_dan!$B$9,0))</f>
        <v/>
      </c>
      <c r="K231" s="6">
        <f>IF($I231="","",$I231-$J231)</f>
        <v/>
      </c>
      <c r="L231" s="6" t="n"/>
      <c r="M231" s="6">
        <f>IFERROR(VLOOKUP(L231,DM_Giao_vien!$A$3:$H$102,2,FALSE),"")</f>
        <v/>
      </c>
      <c r="N231" s="6">
        <f>IFERROR(VLOOKUP(L231,DM_Giao_vien!$A$3:$H$102,8,FALSE),"")</f>
        <v/>
      </c>
      <c r="O231" s="6" t="n"/>
      <c r="P231" s="6">
        <f>IFERROR(VLOOKUP(O231,DM_Giao_vien!$A$3:$H$102,2,FALSE),"")</f>
        <v/>
      </c>
      <c r="Q231" s="6">
        <f>IFERROR(VLOOKUP(O231,DM_Giao_vien!$A$3:$H$102,8,FALSE),"")</f>
        <v/>
      </c>
      <c r="R231" s="6" t="n"/>
    </row>
    <row r="232">
      <c r="A232" s="5" t="n">
        <v>230</v>
      </c>
      <c r="B232" s="6">
        <f>IF(D232="","",Huong_dan!$B$6)</f>
        <v/>
      </c>
      <c r="C232" s="5" t="n"/>
      <c r="D232" s="5" t="n"/>
      <c r="E232" s="5" t="n"/>
      <c r="F232" s="5" t="n"/>
      <c r="G232" s="5">
        <f>IFERROR(VLOOKUP(F232,DM_Mon_GDPT2018!$A$3:$G$20,2,FALSE),"")</f>
        <v/>
      </c>
      <c r="H232" s="5">
        <f>IFERROR(VLOOKUP(F232,DM_Mon_GDPT2018!$A$3:$G$20,3,FALSE),"")</f>
        <v/>
      </c>
      <c r="I232" s="5">
        <f>IFERROR(VLOOKUP(F232,DM_Mon_GDPT2018!$A$3:$G$20,5,FALSE),"")</f>
        <v/>
      </c>
      <c r="J232" s="6">
        <f>IF($I232="","",ROUND($I232*Huong_dan!$B$7/Huong_dan!$B$9,0))</f>
        <v/>
      </c>
      <c r="K232" s="6">
        <f>IF($I232="","",$I232-$J232)</f>
        <v/>
      </c>
      <c r="L232" s="6" t="n"/>
      <c r="M232" s="6">
        <f>IFERROR(VLOOKUP(L232,DM_Giao_vien!$A$3:$H$102,2,FALSE),"")</f>
        <v/>
      </c>
      <c r="N232" s="6">
        <f>IFERROR(VLOOKUP(L232,DM_Giao_vien!$A$3:$H$102,8,FALSE),"")</f>
        <v/>
      </c>
      <c r="O232" s="6" t="n"/>
      <c r="P232" s="6">
        <f>IFERROR(VLOOKUP(O232,DM_Giao_vien!$A$3:$H$102,2,FALSE),"")</f>
        <v/>
      </c>
      <c r="Q232" s="6">
        <f>IFERROR(VLOOKUP(O232,DM_Giao_vien!$A$3:$H$102,8,FALSE),"")</f>
        <v/>
      </c>
      <c r="R232" s="6" t="n"/>
    </row>
    <row r="233">
      <c r="A233" s="5" t="n">
        <v>231</v>
      </c>
      <c r="B233" s="6">
        <f>IF(D233="","",Huong_dan!$B$6)</f>
        <v/>
      </c>
      <c r="C233" s="5" t="n"/>
      <c r="D233" s="5" t="n"/>
      <c r="E233" s="5" t="n"/>
      <c r="F233" s="5" t="n"/>
      <c r="G233" s="5">
        <f>IFERROR(VLOOKUP(F233,DM_Mon_GDPT2018!$A$3:$G$20,2,FALSE),"")</f>
        <v/>
      </c>
      <c r="H233" s="5">
        <f>IFERROR(VLOOKUP(F233,DM_Mon_GDPT2018!$A$3:$G$20,3,FALSE),"")</f>
        <v/>
      </c>
      <c r="I233" s="5">
        <f>IFERROR(VLOOKUP(F233,DM_Mon_GDPT2018!$A$3:$G$20,5,FALSE),"")</f>
        <v/>
      </c>
      <c r="J233" s="6">
        <f>IF($I233="","",ROUND($I233*Huong_dan!$B$7/Huong_dan!$B$9,0))</f>
        <v/>
      </c>
      <c r="K233" s="6">
        <f>IF($I233="","",$I233-$J233)</f>
        <v/>
      </c>
      <c r="L233" s="6" t="n"/>
      <c r="M233" s="6">
        <f>IFERROR(VLOOKUP(L233,DM_Giao_vien!$A$3:$H$102,2,FALSE),"")</f>
        <v/>
      </c>
      <c r="N233" s="6">
        <f>IFERROR(VLOOKUP(L233,DM_Giao_vien!$A$3:$H$102,8,FALSE),"")</f>
        <v/>
      </c>
      <c r="O233" s="6" t="n"/>
      <c r="P233" s="6">
        <f>IFERROR(VLOOKUP(O233,DM_Giao_vien!$A$3:$H$102,2,FALSE),"")</f>
        <v/>
      </c>
      <c r="Q233" s="6">
        <f>IFERROR(VLOOKUP(O233,DM_Giao_vien!$A$3:$H$102,8,FALSE),"")</f>
        <v/>
      </c>
      <c r="R233" s="6" t="n"/>
    </row>
    <row r="234">
      <c r="A234" s="5" t="n">
        <v>232</v>
      </c>
      <c r="B234" s="6">
        <f>IF(D234="","",Huong_dan!$B$6)</f>
        <v/>
      </c>
      <c r="C234" s="5" t="n"/>
      <c r="D234" s="5" t="n"/>
      <c r="E234" s="5" t="n"/>
      <c r="F234" s="5" t="n"/>
      <c r="G234" s="5">
        <f>IFERROR(VLOOKUP(F234,DM_Mon_GDPT2018!$A$3:$G$20,2,FALSE),"")</f>
        <v/>
      </c>
      <c r="H234" s="5">
        <f>IFERROR(VLOOKUP(F234,DM_Mon_GDPT2018!$A$3:$G$20,3,FALSE),"")</f>
        <v/>
      </c>
      <c r="I234" s="5">
        <f>IFERROR(VLOOKUP(F234,DM_Mon_GDPT2018!$A$3:$G$20,5,FALSE),"")</f>
        <v/>
      </c>
      <c r="J234" s="6">
        <f>IF($I234="","",ROUND($I234*Huong_dan!$B$7/Huong_dan!$B$9,0))</f>
        <v/>
      </c>
      <c r="K234" s="6">
        <f>IF($I234="","",$I234-$J234)</f>
        <v/>
      </c>
      <c r="L234" s="6" t="n"/>
      <c r="M234" s="6">
        <f>IFERROR(VLOOKUP(L234,DM_Giao_vien!$A$3:$H$102,2,FALSE),"")</f>
        <v/>
      </c>
      <c r="N234" s="6">
        <f>IFERROR(VLOOKUP(L234,DM_Giao_vien!$A$3:$H$102,8,FALSE),"")</f>
        <v/>
      </c>
      <c r="O234" s="6" t="n"/>
      <c r="P234" s="6">
        <f>IFERROR(VLOOKUP(O234,DM_Giao_vien!$A$3:$H$102,2,FALSE),"")</f>
        <v/>
      </c>
      <c r="Q234" s="6">
        <f>IFERROR(VLOOKUP(O234,DM_Giao_vien!$A$3:$H$102,8,FALSE),"")</f>
        <v/>
      </c>
      <c r="R234" s="6" t="n"/>
    </row>
    <row r="235">
      <c r="A235" s="5" t="n">
        <v>233</v>
      </c>
      <c r="B235" s="6">
        <f>IF(D235="","",Huong_dan!$B$6)</f>
        <v/>
      </c>
      <c r="C235" s="5" t="n"/>
      <c r="D235" s="5" t="n"/>
      <c r="E235" s="5" t="n"/>
      <c r="F235" s="5" t="n"/>
      <c r="G235" s="5">
        <f>IFERROR(VLOOKUP(F235,DM_Mon_GDPT2018!$A$3:$G$20,2,FALSE),"")</f>
        <v/>
      </c>
      <c r="H235" s="5">
        <f>IFERROR(VLOOKUP(F235,DM_Mon_GDPT2018!$A$3:$G$20,3,FALSE),"")</f>
        <v/>
      </c>
      <c r="I235" s="5">
        <f>IFERROR(VLOOKUP(F235,DM_Mon_GDPT2018!$A$3:$G$20,5,FALSE),"")</f>
        <v/>
      </c>
      <c r="J235" s="6">
        <f>IF($I235="","",ROUND($I235*Huong_dan!$B$7/Huong_dan!$B$9,0))</f>
        <v/>
      </c>
      <c r="K235" s="6">
        <f>IF($I235="","",$I235-$J235)</f>
        <v/>
      </c>
      <c r="L235" s="6" t="n"/>
      <c r="M235" s="6">
        <f>IFERROR(VLOOKUP(L235,DM_Giao_vien!$A$3:$H$102,2,FALSE),"")</f>
        <v/>
      </c>
      <c r="N235" s="6">
        <f>IFERROR(VLOOKUP(L235,DM_Giao_vien!$A$3:$H$102,8,FALSE),"")</f>
        <v/>
      </c>
      <c r="O235" s="6" t="n"/>
      <c r="P235" s="6">
        <f>IFERROR(VLOOKUP(O235,DM_Giao_vien!$A$3:$H$102,2,FALSE),"")</f>
        <v/>
      </c>
      <c r="Q235" s="6">
        <f>IFERROR(VLOOKUP(O235,DM_Giao_vien!$A$3:$H$102,8,FALSE),"")</f>
        <v/>
      </c>
      <c r="R235" s="6" t="n"/>
    </row>
    <row r="236">
      <c r="A236" s="5" t="n">
        <v>234</v>
      </c>
      <c r="B236" s="6">
        <f>IF(D236="","",Huong_dan!$B$6)</f>
        <v/>
      </c>
      <c r="C236" s="5" t="n"/>
      <c r="D236" s="5" t="n"/>
      <c r="E236" s="5" t="n"/>
      <c r="F236" s="5" t="n"/>
      <c r="G236" s="5">
        <f>IFERROR(VLOOKUP(F236,DM_Mon_GDPT2018!$A$3:$G$20,2,FALSE),"")</f>
        <v/>
      </c>
      <c r="H236" s="5">
        <f>IFERROR(VLOOKUP(F236,DM_Mon_GDPT2018!$A$3:$G$20,3,FALSE),"")</f>
        <v/>
      </c>
      <c r="I236" s="5">
        <f>IFERROR(VLOOKUP(F236,DM_Mon_GDPT2018!$A$3:$G$20,5,FALSE),"")</f>
        <v/>
      </c>
      <c r="J236" s="6">
        <f>IF($I236="","",ROUND($I236*Huong_dan!$B$7/Huong_dan!$B$9,0))</f>
        <v/>
      </c>
      <c r="K236" s="6">
        <f>IF($I236="","",$I236-$J236)</f>
        <v/>
      </c>
      <c r="L236" s="6" t="n"/>
      <c r="M236" s="6">
        <f>IFERROR(VLOOKUP(L236,DM_Giao_vien!$A$3:$H$102,2,FALSE),"")</f>
        <v/>
      </c>
      <c r="N236" s="6">
        <f>IFERROR(VLOOKUP(L236,DM_Giao_vien!$A$3:$H$102,8,FALSE),"")</f>
        <v/>
      </c>
      <c r="O236" s="6" t="n"/>
      <c r="P236" s="6">
        <f>IFERROR(VLOOKUP(O236,DM_Giao_vien!$A$3:$H$102,2,FALSE),"")</f>
        <v/>
      </c>
      <c r="Q236" s="6">
        <f>IFERROR(VLOOKUP(O236,DM_Giao_vien!$A$3:$H$102,8,FALSE),"")</f>
        <v/>
      </c>
      <c r="R236" s="6" t="n"/>
    </row>
    <row r="237">
      <c r="A237" s="5" t="n">
        <v>235</v>
      </c>
      <c r="B237" s="6">
        <f>IF(D237="","",Huong_dan!$B$6)</f>
        <v/>
      </c>
      <c r="C237" s="5" t="n"/>
      <c r="D237" s="5" t="n"/>
      <c r="E237" s="5" t="n"/>
      <c r="F237" s="5" t="n"/>
      <c r="G237" s="5">
        <f>IFERROR(VLOOKUP(F237,DM_Mon_GDPT2018!$A$3:$G$20,2,FALSE),"")</f>
        <v/>
      </c>
      <c r="H237" s="5">
        <f>IFERROR(VLOOKUP(F237,DM_Mon_GDPT2018!$A$3:$G$20,3,FALSE),"")</f>
        <v/>
      </c>
      <c r="I237" s="5">
        <f>IFERROR(VLOOKUP(F237,DM_Mon_GDPT2018!$A$3:$G$20,5,FALSE),"")</f>
        <v/>
      </c>
      <c r="J237" s="6">
        <f>IF($I237="","",ROUND($I237*Huong_dan!$B$7/Huong_dan!$B$9,0))</f>
        <v/>
      </c>
      <c r="K237" s="6">
        <f>IF($I237="","",$I237-$J237)</f>
        <v/>
      </c>
      <c r="L237" s="6" t="n"/>
      <c r="M237" s="6">
        <f>IFERROR(VLOOKUP(L237,DM_Giao_vien!$A$3:$H$102,2,FALSE),"")</f>
        <v/>
      </c>
      <c r="N237" s="6">
        <f>IFERROR(VLOOKUP(L237,DM_Giao_vien!$A$3:$H$102,8,FALSE),"")</f>
        <v/>
      </c>
      <c r="O237" s="6" t="n"/>
      <c r="P237" s="6">
        <f>IFERROR(VLOOKUP(O237,DM_Giao_vien!$A$3:$H$102,2,FALSE),"")</f>
        <v/>
      </c>
      <c r="Q237" s="6">
        <f>IFERROR(VLOOKUP(O237,DM_Giao_vien!$A$3:$H$102,8,FALSE),"")</f>
        <v/>
      </c>
      <c r="R237" s="6" t="n"/>
    </row>
    <row r="238">
      <c r="A238" s="5" t="n">
        <v>236</v>
      </c>
      <c r="B238" s="6">
        <f>IF(D238="","",Huong_dan!$B$6)</f>
        <v/>
      </c>
      <c r="C238" s="5" t="n"/>
      <c r="D238" s="5" t="n"/>
      <c r="E238" s="5" t="n"/>
      <c r="F238" s="5" t="n"/>
      <c r="G238" s="5">
        <f>IFERROR(VLOOKUP(F238,DM_Mon_GDPT2018!$A$3:$G$20,2,FALSE),"")</f>
        <v/>
      </c>
      <c r="H238" s="5">
        <f>IFERROR(VLOOKUP(F238,DM_Mon_GDPT2018!$A$3:$G$20,3,FALSE),"")</f>
        <v/>
      </c>
      <c r="I238" s="5">
        <f>IFERROR(VLOOKUP(F238,DM_Mon_GDPT2018!$A$3:$G$20,5,FALSE),"")</f>
        <v/>
      </c>
      <c r="J238" s="6">
        <f>IF($I238="","",ROUND($I238*Huong_dan!$B$7/Huong_dan!$B$9,0))</f>
        <v/>
      </c>
      <c r="K238" s="6">
        <f>IF($I238="","",$I238-$J238)</f>
        <v/>
      </c>
      <c r="L238" s="6" t="n"/>
      <c r="M238" s="6">
        <f>IFERROR(VLOOKUP(L238,DM_Giao_vien!$A$3:$H$102,2,FALSE),"")</f>
        <v/>
      </c>
      <c r="N238" s="6">
        <f>IFERROR(VLOOKUP(L238,DM_Giao_vien!$A$3:$H$102,8,FALSE),"")</f>
        <v/>
      </c>
      <c r="O238" s="6" t="n"/>
      <c r="P238" s="6">
        <f>IFERROR(VLOOKUP(O238,DM_Giao_vien!$A$3:$H$102,2,FALSE),"")</f>
        <v/>
      </c>
      <c r="Q238" s="6">
        <f>IFERROR(VLOOKUP(O238,DM_Giao_vien!$A$3:$H$102,8,FALSE),"")</f>
        <v/>
      </c>
      <c r="R238" s="6" t="n"/>
    </row>
    <row r="239">
      <c r="A239" s="5" t="n">
        <v>237</v>
      </c>
      <c r="B239" s="6">
        <f>IF(D239="","",Huong_dan!$B$6)</f>
        <v/>
      </c>
      <c r="C239" s="5" t="n"/>
      <c r="D239" s="5" t="n"/>
      <c r="E239" s="5" t="n"/>
      <c r="F239" s="5" t="n"/>
      <c r="G239" s="5">
        <f>IFERROR(VLOOKUP(F239,DM_Mon_GDPT2018!$A$3:$G$20,2,FALSE),"")</f>
        <v/>
      </c>
      <c r="H239" s="5">
        <f>IFERROR(VLOOKUP(F239,DM_Mon_GDPT2018!$A$3:$G$20,3,FALSE),"")</f>
        <v/>
      </c>
      <c r="I239" s="5">
        <f>IFERROR(VLOOKUP(F239,DM_Mon_GDPT2018!$A$3:$G$20,5,FALSE),"")</f>
        <v/>
      </c>
      <c r="J239" s="6">
        <f>IF($I239="","",ROUND($I239*Huong_dan!$B$7/Huong_dan!$B$9,0))</f>
        <v/>
      </c>
      <c r="K239" s="6">
        <f>IF($I239="","",$I239-$J239)</f>
        <v/>
      </c>
      <c r="L239" s="6" t="n"/>
      <c r="M239" s="6">
        <f>IFERROR(VLOOKUP(L239,DM_Giao_vien!$A$3:$H$102,2,FALSE),"")</f>
        <v/>
      </c>
      <c r="N239" s="6">
        <f>IFERROR(VLOOKUP(L239,DM_Giao_vien!$A$3:$H$102,8,FALSE),"")</f>
        <v/>
      </c>
      <c r="O239" s="6" t="n"/>
      <c r="P239" s="6">
        <f>IFERROR(VLOOKUP(O239,DM_Giao_vien!$A$3:$H$102,2,FALSE),"")</f>
        <v/>
      </c>
      <c r="Q239" s="6">
        <f>IFERROR(VLOOKUP(O239,DM_Giao_vien!$A$3:$H$102,8,FALSE),"")</f>
        <v/>
      </c>
      <c r="R239" s="6" t="n"/>
    </row>
    <row r="240">
      <c r="A240" s="5" t="n">
        <v>238</v>
      </c>
      <c r="B240" s="6">
        <f>IF(D240="","",Huong_dan!$B$6)</f>
        <v/>
      </c>
      <c r="C240" s="5" t="n"/>
      <c r="D240" s="5" t="n"/>
      <c r="E240" s="5" t="n"/>
      <c r="F240" s="5" t="n"/>
      <c r="G240" s="5">
        <f>IFERROR(VLOOKUP(F240,DM_Mon_GDPT2018!$A$3:$G$20,2,FALSE),"")</f>
        <v/>
      </c>
      <c r="H240" s="5">
        <f>IFERROR(VLOOKUP(F240,DM_Mon_GDPT2018!$A$3:$G$20,3,FALSE),"")</f>
        <v/>
      </c>
      <c r="I240" s="5">
        <f>IFERROR(VLOOKUP(F240,DM_Mon_GDPT2018!$A$3:$G$20,5,FALSE),"")</f>
        <v/>
      </c>
      <c r="J240" s="6">
        <f>IF($I240="","",ROUND($I240*Huong_dan!$B$7/Huong_dan!$B$9,0))</f>
        <v/>
      </c>
      <c r="K240" s="6">
        <f>IF($I240="","",$I240-$J240)</f>
        <v/>
      </c>
      <c r="L240" s="6" t="n"/>
      <c r="M240" s="6">
        <f>IFERROR(VLOOKUP(L240,DM_Giao_vien!$A$3:$H$102,2,FALSE),"")</f>
        <v/>
      </c>
      <c r="N240" s="6">
        <f>IFERROR(VLOOKUP(L240,DM_Giao_vien!$A$3:$H$102,8,FALSE),"")</f>
        <v/>
      </c>
      <c r="O240" s="6" t="n"/>
      <c r="P240" s="6">
        <f>IFERROR(VLOOKUP(O240,DM_Giao_vien!$A$3:$H$102,2,FALSE),"")</f>
        <v/>
      </c>
      <c r="Q240" s="6">
        <f>IFERROR(VLOOKUP(O240,DM_Giao_vien!$A$3:$H$102,8,FALSE),"")</f>
        <v/>
      </c>
      <c r="R240" s="6" t="n"/>
    </row>
    <row r="241">
      <c r="A241" s="5" t="n">
        <v>239</v>
      </c>
      <c r="B241" s="6">
        <f>IF(D241="","",Huong_dan!$B$6)</f>
        <v/>
      </c>
      <c r="C241" s="5" t="n"/>
      <c r="D241" s="5" t="n"/>
      <c r="E241" s="5" t="n"/>
      <c r="F241" s="5" t="n"/>
      <c r="G241" s="5">
        <f>IFERROR(VLOOKUP(F241,DM_Mon_GDPT2018!$A$3:$G$20,2,FALSE),"")</f>
        <v/>
      </c>
      <c r="H241" s="5">
        <f>IFERROR(VLOOKUP(F241,DM_Mon_GDPT2018!$A$3:$G$20,3,FALSE),"")</f>
        <v/>
      </c>
      <c r="I241" s="5">
        <f>IFERROR(VLOOKUP(F241,DM_Mon_GDPT2018!$A$3:$G$20,5,FALSE),"")</f>
        <v/>
      </c>
      <c r="J241" s="6">
        <f>IF($I241="","",ROUND($I241*Huong_dan!$B$7/Huong_dan!$B$9,0))</f>
        <v/>
      </c>
      <c r="K241" s="6">
        <f>IF($I241="","",$I241-$J241)</f>
        <v/>
      </c>
      <c r="L241" s="6" t="n"/>
      <c r="M241" s="6">
        <f>IFERROR(VLOOKUP(L241,DM_Giao_vien!$A$3:$H$102,2,FALSE),"")</f>
        <v/>
      </c>
      <c r="N241" s="6">
        <f>IFERROR(VLOOKUP(L241,DM_Giao_vien!$A$3:$H$102,8,FALSE),"")</f>
        <v/>
      </c>
      <c r="O241" s="6" t="n"/>
      <c r="P241" s="6">
        <f>IFERROR(VLOOKUP(O241,DM_Giao_vien!$A$3:$H$102,2,FALSE),"")</f>
        <v/>
      </c>
      <c r="Q241" s="6">
        <f>IFERROR(VLOOKUP(O241,DM_Giao_vien!$A$3:$H$102,8,FALSE),"")</f>
        <v/>
      </c>
      <c r="R241" s="6" t="n"/>
    </row>
    <row r="242">
      <c r="A242" s="5" t="n">
        <v>240</v>
      </c>
      <c r="B242" s="6">
        <f>IF(D242="","",Huong_dan!$B$6)</f>
        <v/>
      </c>
      <c r="C242" s="5" t="n"/>
      <c r="D242" s="5" t="n"/>
      <c r="E242" s="5" t="n"/>
      <c r="F242" s="5" t="n"/>
      <c r="G242" s="5">
        <f>IFERROR(VLOOKUP(F242,DM_Mon_GDPT2018!$A$3:$G$20,2,FALSE),"")</f>
        <v/>
      </c>
      <c r="H242" s="5">
        <f>IFERROR(VLOOKUP(F242,DM_Mon_GDPT2018!$A$3:$G$20,3,FALSE),"")</f>
        <v/>
      </c>
      <c r="I242" s="5">
        <f>IFERROR(VLOOKUP(F242,DM_Mon_GDPT2018!$A$3:$G$20,5,FALSE),"")</f>
        <v/>
      </c>
      <c r="J242" s="6">
        <f>IF($I242="","",ROUND($I242*Huong_dan!$B$7/Huong_dan!$B$9,0))</f>
        <v/>
      </c>
      <c r="K242" s="6">
        <f>IF($I242="","",$I242-$J242)</f>
        <v/>
      </c>
      <c r="L242" s="6" t="n"/>
      <c r="M242" s="6">
        <f>IFERROR(VLOOKUP(L242,DM_Giao_vien!$A$3:$H$102,2,FALSE),"")</f>
        <v/>
      </c>
      <c r="N242" s="6">
        <f>IFERROR(VLOOKUP(L242,DM_Giao_vien!$A$3:$H$102,8,FALSE),"")</f>
        <v/>
      </c>
      <c r="O242" s="6" t="n"/>
      <c r="P242" s="6">
        <f>IFERROR(VLOOKUP(O242,DM_Giao_vien!$A$3:$H$102,2,FALSE),"")</f>
        <v/>
      </c>
      <c r="Q242" s="6">
        <f>IFERROR(VLOOKUP(O242,DM_Giao_vien!$A$3:$H$102,8,FALSE),"")</f>
        <v/>
      </c>
      <c r="R242" s="6" t="n"/>
    </row>
    <row r="243">
      <c r="A243" s="5" t="n">
        <v>241</v>
      </c>
      <c r="B243" s="6">
        <f>IF(D243="","",Huong_dan!$B$6)</f>
        <v/>
      </c>
      <c r="C243" s="5" t="n"/>
      <c r="D243" s="5" t="n"/>
      <c r="E243" s="5" t="n"/>
      <c r="F243" s="5" t="n"/>
      <c r="G243" s="5">
        <f>IFERROR(VLOOKUP(F243,DM_Mon_GDPT2018!$A$3:$G$20,2,FALSE),"")</f>
        <v/>
      </c>
      <c r="H243" s="5">
        <f>IFERROR(VLOOKUP(F243,DM_Mon_GDPT2018!$A$3:$G$20,3,FALSE),"")</f>
        <v/>
      </c>
      <c r="I243" s="5">
        <f>IFERROR(VLOOKUP(F243,DM_Mon_GDPT2018!$A$3:$G$20,5,FALSE),"")</f>
        <v/>
      </c>
      <c r="J243" s="6">
        <f>IF($I243="","",ROUND($I243*Huong_dan!$B$7/Huong_dan!$B$9,0))</f>
        <v/>
      </c>
      <c r="K243" s="6">
        <f>IF($I243="","",$I243-$J243)</f>
        <v/>
      </c>
      <c r="L243" s="6" t="n"/>
      <c r="M243" s="6">
        <f>IFERROR(VLOOKUP(L243,DM_Giao_vien!$A$3:$H$102,2,FALSE),"")</f>
        <v/>
      </c>
      <c r="N243" s="6">
        <f>IFERROR(VLOOKUP(L243,DM_Giao_vien!$A$3:$H$102,8,FALSE),"")</f>
        <v/>
      </c>
      <c r="O243" s="6" t="n"/>
      <c r="P243" s="6">
        <f>IFERROR(VLOOKUP(O243,DM_Giao_vien!$A$3:$H$102,2,FALSE),"")</f>
        <v/>
      </c>
      <c r="Q243" s="6">
        <f>IFERROR(VLOOKUP(O243,DM_Giao_vien!$A$3:$H$102,8,FALSE),"")</f>
        <v/>
      </c>
      <c r="R243" s="6" t="n"/>
    </row>
    <row r="244">
      <c r="A244" s="5" t="n">
        <v>242</v>
      </c>
      <c r="B244" s="6">
        <f>IF(D244="","",Huong_dan!$B$6)</f>
        <v/>
      </c>
      <c r="C244" s="5" t="n"/>
      <c r="D244" s="5" t="n"/>
      <c r="E244" s="5" t="n"/>
      <c r="F244" s="5" t="n"/>
      <c r="G244" s="5">
        <f>IFERROR(VLOOKUP(F244,DM_Mon_GDPT2018!$A$3:$G$20,2,FALSE),"")</f>
        <v/>
      </c>
      <c r="H244" s="5">
        <f>IFERROR(VLOOKUP(F244,DM_Mon_GDPT2018!$A$3:$G$20,3,FALSE),"")</f>
        <v/>
      </c>
      <c r="I244" s="5">
        <f>IFERROR(VLOOKUP(F244,DM_Mon_GDPT2018!$A$3:$G$20,5,FALSE),"")</f>
        <v/>
      </c>
      <c r="J244" s="6">
        <f>IF($I244="","",ROUND($I244*Huong_dan!$B$7/Huong_dan!$B$9,0))</f>
        <v/>
      </c>
      <c r="K244" s="6">
        <f>IF($I244="","",$I244-$J244)</f>
        <v/>
      </c>
      <c r="L244" s="6" t="n"/>
      <c r="M244" s="6">
        <f>IFERROR(VLOOKUP(L244,DM_Giao_vien!$A$3:$H$102,2,FALSE),"")</f>
        <v/>
      </c>
      <c r="N244" s="6">
        <f>IFERROR(VLOOKUP(L244,DM_Giao_vien!$A$3:$H$102,8,FALSE),"")</f>
        <v/>
      </c>
      <c r="O244" s="6" t="n"/>
      <c r="P244" s="6">
        <f>IFERROR(VLOOKUP(O244,DM_Giao_vien!$A$3:$H$102,2,FALSE),"")</f>
        <v/>
      </c>
      <c r="Q244" s="6">
        <f>IFERROR(VLOOKUP(O244,DM_Giao_vien!$A$3:$H$102,8,FALSE),"")</f>
        <v/>
      </c>
      <c r="R244" s="6" t="n"/>
    </row>
    <row r="245">
      <c r="A245" s="5" t="n">
        <v>243</v>
      </c>
      <c r="B245" s="6">
        <f>IF(D245="","",Huong_dan!$B$6)</f>
        <v/>
      </c>
      <c r="C245" s="5" t="n"/>
      <c r="D245" s="5" t="n"/>
      <c r="E245" s="5" t="n"/>
      <c r="F245" s="5" t="n"/>
      <c r="G245" s="5">
        <f>IFERROR(VLOOKUP(F245,DM_Mon_GDPT2018!$A$3:$G$20,2,FALSE),"")</f>
        <v/>
      </c>
      <c r="H245" s="5">
        <f>IFERROR(VLOOKUP(F245,DM_Mon_GDPT2018!$A$3:$G$20,3,FALSE),"")</f>
        <v/>
      </c>
      <c r="I245" s="5">
        <f>IFERROR(VLOOKUP(F245,DM_Mon_GDPT2018!$A$3:$G$20,5,FALSE),"")</f>
        <v/>
      </c>
      <c r="J245" s="6">
        <f>IF($I245="","",ROUND($I245*Huong_dan!$B$7/Huong_dan!$B$9,0))</f>
        <v/>
      </c>
      <c r="K245" s="6">
        <f>IF($I245="","",$I245-$J245)</f>
        <v/>
      </c>
      <c r="L245" s="6" t="n"/>
      <c r="M245" s="6">
        <f>IFERROR(VLOOKUP(L245,DM_Giao_vien!$A$3:$H$102,2,FALSE),"")</f>
        <v/>
      </c>
      <c r="N245" s="6">
        <f>IFERROR(VLOOKUP(L245,DM_Giao_vien!$A$3:$H$102,8,FALSE),"")</f>
        <v/>
      </c>
      <c r="O245" s="6" t="n"/>
      <c r="P245" s="6">
        <f>IFERROR(VLOOKUP(O245,DM_Giao_vien!$A$3:$H$102,2,FALSE),"")</f>
        <v/>
      </c>
      <c r="Q245" s="6">
        <f>IFERROR(VLOOKUP(O245,DM_Giao_vien!$A$3:$H$102,8,FALSE),"")</f>
        <v/>
      </c>
      <c r="R245" s="6" t="n"/>
    </row>
    <row r="246">
      <c r="A246" s="5" t="n">
        <v>244</v>
      </c>
      <c r="B246" s="6">
        <f>IF(D246="","",Huong_dan!$B$6)</f>
        <v/>
      </c>
      <c r="C246" s="5" t="n"/>
      <c r="D246" s="5" t="n"/>
      <c r="E246" s="5" t="n"/>
      <c r="F246" s="5" t="n"/>
      <c r="G246" s="5">
        <f>IFERROR(VLOOKUP(F246,DM_Mon_GDPT2018!$A$3:$G$20,2,FALSE),"")</f>
        <v/>
      </c>
      <c r="H246" s="5">
        <f>IFERROR(VLOOKUP(F246,DM_Mon_GDPT2018!$A$3:$G$20,3,FALSE),"")</f>
        <v/>
      </c>
      <c r="I246" s="5">
        <f>IFERROR(VLOOKUP(F246,DM_Mon_GDPT2018!$A$3:$G$20,5,FALSE),"")</f>
        <v/>
      </c>
      <c r="J246" s="6">
        <f>IF($I246="","",ROUND($I246*Huong_dan!$B$7/Huong_dan!$B$9,0))</f>
        <v/>
      </c>
      <c r="K246" s="6">
        <f>IF($I246="","",$I246-$J246)</f>
        <v/>
      </c>
      <c r="L246" s="6" t="n"/>
      <c r="M246" s="6">
        <f>IFERROR(VLOOKUP(L246,DM_Giao_vien!$A$3:$H$102,2,FALSE),"")</f>
        <v/>
      </c>
      <c r="N246" s="6">
        <f>IFERROR(VLOOKUP(L246,DM_Giao_vien!$A$3:$H$102,8,FALSE),"")</f>
        <v/>
      </c>
      <c r="O246" s="6" t="n"/>
      <c r="P246" s="6">
        <f>IFERROR(VLOOKUP(O246,DM_Giao_vien!$A$3:$H$102,2,FALSE),"")</f>
        <v/>
      </c>
      <c r="Q246" s="6">
        <f>IFERROR(VLOOKUP(O246,DM_Giao_vien!$A$3:$H$102,8,FALSE),"")</f>
        <v/>
      </c>
      <c r="R246" s="6" t="n"/>
    </row>
    <row r="247">
      <c r="A247" s="5" t="n">
        <v>245</v>
      </c>
      <c r="B247" s="6">
        <f>IF(D247="","",Huong_dan!$B$6)</f>
        <v/>
      </c>
      <c r="C247" s="5" t="n"/>
      <c r="D247" s="5" t="n"/>
      <c r="E247" s="5" t="n"/>
      <c r="F247" s="5" t="n"/>
      <c r="G247" s="5">
        <f>IFERROR(VLOOKUP(F247,DM_Mon_GDPT2018!$A$3:$G$20,2,FALSE),"")</f>
        <v/>
      </c>
      <c r="H247" s="5">
        <f>IFERROR(VLOOKUP(F247,DM_Mon_GDPT2018!$A$3:$G$20,3,FALSE),"")</f>
        <v/>
      </c>
      <c r="I247" s="5">
        <f>IFERROR(VLOOKUP(F247,DM_Mon_GDPT2018!$A$3:$G$20,5,FALSE),"")</f>
        <v/>
      </c>
      <c r="J247" s="6">
        <f>IF($I247="","",ROUND($I247*Huong_dan!$B$7/Huong_dan!$B$9,0))</f>
        <v/>
      </c>
      <c r="K247" s="6">
        <f>IF($I247="","",$I247-$J247)</f>
        <v/>
      </c>
      <c r="L247" s="6" t="n"/>
      <c r="M247" s="6">
        <f>IFERROR(VLOOKUP(L247,DM_Giao_vien!$A$3:$H$102,2,FALSE),"")</f>
        <v/>
      </c>
      <c r="N247" s="6">
        <f>IFERROR(VLOOKUP(L247,DM_Giao_vien!$A$3:$H$102,8,FALSE),"")</f>
        <v/>
      </c>
      <c r="O247" s="6" t="n"/>
      <c r="P247" s="6">
        <f>IFERROR(VLOOKUP(O247,DM_Giao_vien!$A$3:$H$102,2,FALSE),"")</f>
        <v/>
      </c>
      <c r="Q247" s="6">
        <f>IFERROR(VLOOKUP(O247,DM_Giao_vien!$A$3:$H$102,8,FALSE),"")</f>
        <v/>
      </c>
      <c r="R247" s="6" t="n"/>
    </row>
    <row r="248">
      <c r="A248" s="5" t="n">
        <v>246</v>
      </c>
      <c r="B248" s="6">
        <f>IF(D248="","",Huong_dan!$B$6)</f>
        <v/>
      </c>
      <c r="C248" s="5" t="n"/>
      <c r="D248" s="5" t="n"/>
      <c r="E248" s="5" t="n"/>
      <c r="F248" s="5" t="n"/>
      <c r="G248" s="5">
        <f>IFERROR(VLOOKUP(F248,DM_Mon_GDPT2018!$A$3:$G$20,2,FALSE),"")</f>
        <v/>
      </c>
      <c r="H248" s="5">
        <f>IFERROR(VLOOKUP(F248,DM_Mon_GDPT2018!$A$3:$G$20,3,FALSE),"")</f>
        <v/>
      </c>
      <c r="I248" s="5">
        <f>IFERROR(VLOOKUP(F248,DM_Mon_GDPT2018!$A$3:$G$20,5,FALSE),"")</f>
        <v/>
      </c>
      <c r="J248" s="6">
        <f>IF($I248="","",ROUND($I248*Huong_dan!$B$7/Huong_dan!$B$9,0))</f>
        <v/>
      </c>
      <c r="K248" s="6">
        <f>IF($I248="","",$I248-$J248)</f>
        <v/>
      </c>
      <c r="L248" s="6" t="n"/>
      <c r="M248" s="6">
        <f>IFERROR(VLOOKUP(L248,DM_Giao_vien!$A$3:$H$102,2,FALSE),"")</f>
        <v/>
      </c>
      <c r="N248" s="6">
        <f>IFERROR(VLOOKUP(L248,DM_Giao_vien!$A$3:$H$102,8,FALSE),"")</f>
        <v/>
      </c>
      <c r="O248" s="6" t="n"/>
      <c r="P248" s="6">
        <f>IFERROR(VLOOKUP(O248,DM_Giao_vien!$A$3:$H$102,2,FALSE),"")</f>
        <v/>
      </c>
      <c r="Q248" s="6">
        <f>IFERROR(VLOOKUP(O248,DM_Giao_vien!$A$3:$H$102,8,FALSE),"")</f>
        <v/>
      </c>
      <c r="R248" s="6" t="n"/>
    </row>
    <row r="249">
      <c r="A249" s="5" t="n">
        <v>247</v>
      </c>
      <c r="B249" s="6">
        <f>IF(D249="","",Huong_dan!$B$6)</f>
        <v/>
      </c>
      <c r="C249" s="5" t="n"/>
      <c r="D249" s="5" t="n"/>
      <c r="E249" s="5" t="n"/>
      <c r="F249" s="5" t="n"/>
      <c r="G249" s="5">
        <f>IFERROR(VLOOKUP(F249,DM_Mon_GDPT2018!$A$3:$G$20,2,FALSE),"")</f>
        <v/>
      </c>
      <c r="H249" s="5">
        <f>IFERROR(VLOOKUP(F249,DM_Mon_GDPT2018!$A$3:$G$20,3,FALSE),"")</f>
        <v/>
      </c>
      <c r="I249" s="5">
        <f>IFERROR(VLOOKUP(F249,DM_Mon_GDPT2018!$A$3:$G$20,5,FALSE),"")</f>
        <v/>
      </c>
      <c r="J249" s="6">
        <f>IF($I249="","",ROUND($I249*Huong_dan!$B$7/Huong_dan!$B$9,0))</f>
        <v/>
      </c>
      <c r="K249" s="6">
        <f>IF($I249="","",$I249-$J249)</f>
        <v/>
      </c>
      <c r="L249" s="6" t="n"/>
      <c r="M249" s="6">
        <f>IFERROR(VLOOKUP(L249,DM_Giao_vien!$A$3:$H$102,2,FALSE),"")</f>
        <v/>
      </c>
      <c r="N249" s="6">
        <f>IFERROR(VLOOKUP(L249,DM_Giao_vien!$A$3:$H$102,8,FALSE),"")</f>
        <v/>
      </c>
      <c r="O249" s="6" t="n"/>
      <c r="P249" s="6">
        <f>IFERROR(VLOOKUP(O249,DM_Giao_vien!$A$3:$H$102,2,FALSE),"")</f>
        <v/>
      </c>
      <c r="Q249" s="6">
        <f>IFERROR(VLOOKUP(O249,DM_Giao_vien!$A$3:$H$102,8,FALSE),"")</f>
        <v/>
      </c>
      <c r="R249" s="6" t="n"/>
    </row>
    <row r="250">
      <c r="A250" s="5" t="n">
        <v>248</v>
      </c>
      <c r="B250" s="6">
        <f>IF(D250="","",Huong_dan!$B$6)</f>
        <v/>
      </c>
      <c r="C250" s="5" t="n"/>
      <c r="D250" s="5" t="n"/>
      <c r="E250" s="5" t="n"/>
      <c r="F250" s="5" t="n"/>
      <c r="G250" s="5">
        <f>IFERROR(VLOOKUP(F250,DM_Mon_GDPT2018!$A$3:$G$20,2,FALSE),"")</f>
        <v/>
      </c>
      <c r="H250" s="5">
        <f>IFERROR(VLOOKUP(F250,DM_Mon_GDPT2018!$A$3:$G$20,3,FALSE),"")</f>
        <v/>
      </c>
      <c r="I250" s="5">
        <f>IFERROR(VLOOKUP(F250,DM_Mon_GDPT2018!$A$3:$G$20,5,FALSE),"")</f>
        <v/>
      </c>
      <c r="J250" s="6">
        <f>IF($I250="","",ROUND($I250*Huong_dan!$B$7/Huong_dan!$B$9,0))</f>
        <v/>
      </c>
      <c r="K250" s="6">
        <f>IF($I250="","",$I250-$J250)</f>
        <v/>
      </c>
      <c r="L250" s="6" t="n"/>
      <c r="M250" s="6">
        <f>IFERROR(VLOOKUP(L250,DM_Giao_vien!$A$3:$H$102,2,FALSE),"")</f>
        <v/>
      </c>
      <c r="N250" s="6">
        <f>IFERROR(VLOOKUP(L250,DM_Giao_vien!$A$3:$H$102,8,FALSE),"")</f>
        <v/>
      </c>
      <c r="O250" s="6" t="n"/>
      <c r="P250" s="6">
        <f>IFERROR(VLOOKUP(O250,DM_Giao_vien!$A$3:$H$102,2,FALSE),"")</f>
        <v/>
      </c>
      <c r="Q250" s="6">
        <f>IFERROR(VLOOKUP(O250,DM_Giao_vien!$A$3:$H$102,8,FALSE),"")</f>
        <v/>
      </c>
      <c r="R250" s="6" t="n"/>
    </row>
    <row r="251">
      <c r="A251" s="5" t="n">
        <v>249</v>
      </c>
      <c r="B251" s="6">
        <f>IF(D251="","",Huong_dan!$B$6)</f>
        <v/>
      </c>
      <c r="C251" s="5" t="n"/>
      <c r="D251" s="5" t="n"/>
      <c r="E251" s="5" t="n"/>
      <c r="F251" s="5" t="n"/>
      <c r="G251" s="5">
        <f>IFERROR(VLOOKUP(F251,DM_Mon_GDPT2018!$A$3:$G$20,2,FALSE),"")</f>
        <v/>
      </c>
      <c r="H251" s="5">
        <f>IFERROR(VLOOKUP(F251,DM_Mon_GDPT2018!$A$3:$G$20,3,FALSE),"")</f>
        <v/>
      </c>
      <c r="I251" s="5">
        <f>IFERROR(VLOOKUP(F251,DM_Mon_GDPT2018!$A$3:$G$20,5,FALSE),"")</f>
        <v/>
      </c>
      <c r="J251" s="6">
        <f>IF($I251="","",ROUND($I251*Huong_dan!$B$7/Huong_dan!$B$9,0))</f>
        <v/>
      </c>
      <c r="K251" s="6">
        <f>IF($I251="","",$I251-$J251)</f>
        <v/>
      </c>
      <c r="L251" s="6" t="n"/>
      <c r="M251" s="6">
        <f>IFERROR(VLOOKUP(L251,DM_Giao_vien!$A$3:$H$102,2,FALSE),"")</f>
        <v/>
      </c>
      <c r="N251" s="6">
        <f>IFERROR(VLOOKUP(L251,DM_Giao_vien!$A$3:$H$102,8,FALSE),"")</f>
        <v/>
      </c>
      <c r="O251" s="6" t="n"/>
      <c r="P251" s="6">
        <f>IFERROR(VLOOKUP(O251,DM_Giao_vien!$A$3:$H$102,2,FALSE),"")</f>
        <v/>
      </c>
      <c r="Q251" s="6">
        <f>IFERROR(VLOOKUP(O251,DM_Giao_vien!$A$3:$H$102,8,FALSE),"")</f>
        <v/>
      </c>
      <c r="R251" s="6" t="n"/>
    </row>
    <row r="252">
      <c r="A252" s="5" t="n">
        <v>250</v>
      </c>
      <c r="B252" s="6">
        <f>IF(D252="","",Huong_dan!$B$6)</f>
        <v/>
      </c>
      <c r="C252" s="5" t="n"/>
      <c r="D252" s="5" t="n"/>
      <c r="E252" s="5" t="n"/>
      <c r="F252" s="5" t="n"/>
      <c r="G252" s="5">
        <f>IFERROR(VLOOKUP(F252,DM_Mon_GDPT2018!$A$3:$G$20,2,FALSE),"")</f>
        <v/>
      </c>
      <c r="H252" s="5">
        <f>IFERROR(VLOOKUP(F252,DM_Mon_GDPT2018!$A$3:$G$20,3,FALSE),"")</f>
        <v/>
      </c>
      <c r="I252" s="5">
        <f>IFERROR(VLOOKUP(F252,DM_Mon_GDPT2018!$A$3:$G$20,5,FALSE),"")</f>
        <v/>
      </c>
      <c r="J252" s="6">
        <f>IF($I252="","",ROUND($I252*Huong_dan!$B$7/Huong_dan!$B$9,0))</f>
        <v/>
      </c>
      <c r="K252" s="6">
        <f>IF($I252="","",$I252-$J252)</f>
        <v/>
      </c>
      <c r="L252" s="6" t="n"/>
      <c r="M252" s="6">
        <f>IFERROR(VLOOKUP(L252,DM_Giao_vien!$A$3:$H$102,2,FALSE),"")</f>
        <v/>
      </c>
      <c r="N252" s="6">
        <f>IFERROR(VLOOKUP(L252,DM_Giao_vien!$A$3:$H$102,8,FALSE),"")</f>
        <v/>
      </c>
      <c r="O252" s="6" t="n"/>
      <c r="P252" s="6">
        <f>IFERROR(VLOOKUP(O252,DM_Giao_vien!$A$3:$H$102,2,FALSE),"")</f>
        <v/>
      </c>
      <c r="Q252" s="6">
        <f>IFERROR(VLOOKUP(O252,DM_Giao_vien!$A$3:$H$102,8,FALSE),"")</f>
        <v/>
      </c>
      <c r="R252" s="6" t="n"/>
    </row>
    <row r="253">
      <c r="A253" s="5" t="n">
        <v>251</v>
      </c>
      <c r="B253" s="6">
        <f>IF(D253="","",Huong_dan!$B$6)</f>
        <v/>
      </c>
      <c r="C253" s="5" t="n"/>
      <c r="D253" s="5" t="n"/>
      <c r="E253" s="5" t="n"/>
      <c r="F253" s="5" t="n"/>
      <c r="G253" s="5">
        <f>IFERROR(VLOOKUP(F253,DM_Mon_GDPT2018!$A$3:$G$20,2,FALSE),"")</f>
        <v/>
      </c>
      <c r="H253" s="5">
        <f>IFERROR(VLOOKUP(F253,DM_Mon_GDPT2018!$A$3:$G$20,3,FALSE),"")</f>
        <v/>
      </c>
      <c r="I253" s="5">
        <f>IFERROR(VLOOKUP(F253,DM_Mon_GDPT2018!$A$3:$G$20,5,FALSE),"")</f>
        <v/>
      </c>
      <c r="J253" s="6">
        <f>IF($I253="","",ROUND($I253*Huong_dan!$B$7/Huong_dan!$B$9,0))</f>
        <v/>
      </c>
      <c r="K253" s="6">
        <f>IF($I253="","",$I253-$J253)</f>
        <v/>
      </c>
      <c r="L253" s="6" t="n"/>
      <c r="M253" s="6">
        <f>IFERROR(VLOOKUP(L253,DM_Giao_vien!$A$3:$H$102,2,FALSE),"")</f>
        <v/>
      </c>
      <c r="N253" s="6">
        <f>IFERROR(VLOOKUP(L253,DM_Giao_vien!$A$3:$H$102,8,FALSE),"")</f>
        <v/>
      </c>
      <c r="O253" s="6" t="n"/>
      <c r="P253" s="6">
        <f>IFERROR(VLOOKUP(O253,DM_Giao_vien!$A$3:$H$102,2,FALSE),"")</f>
        <v/>
      </c>
      <c r="Q253" s="6">
        <f>IFERROR(VLOOKUP(O253,DM_Giao_vien!$A$3:$H$102,8,FALSE),"")</f>
        <v/>
      </c>
      <c r="R253" s="6" t="n"/>
    </row>
    <row r="254">
      <c r="A254" s="5" t="n">
        <v>252</v>
      </c>
      <c r="B254" s="6">
        <f>IF(D254="","",Huong_dan!$B$6)</f>
        <v/>
      </c>
      <c r="C254" s="5" t="n"/>
      <c r="D254" s="5" t="n"/>
      <c r="E254" s="5" t="n"/>
      <c r="F254" s="5" t="n"/>
      <c r="G254" s="5">
        <f>IFERROR(VLOOKUP(F254,DM_Mon_GDPT2018!$A$3:$G$20,2,FALSE),"")</f>
        <v/>
      </c>
      <c r="H254" s="5">
        <f>IFERROR(VLOOKUP(F254,DM_Mon_GDPT2018!$A$3:$G$20,3,FALSE),"")</f>
        <v/>
      </c>
      <c r="I254" s="5">
        <f>IFERROR(VLOOKUP(F254,DM_Mon_GDPT2018!$A$3:$G$20,5,FALSE),"")</f>
        <v/>
      </c>
      <c r="J254" s="6">
        <f>IF($I254="","",ROUND($I254*Huong_dan!$B$7/Huong_dan!$B$9,0))</f>
        <v/>
      </c>
      <c r="K254" s="6">
        <f>IF($I254="","",$I254-$J254)</f>
        <v/>
      </c>
      <c r="L254" s="6" t="n"/>
      <c r="M254" s="6">
        <f>IFERROR(VLOOKUP(L254,DM_Giao_vien!$A$3:$H$102,2,FALSE),"")</f>
        <v/>
      </c>
      <c r="N254" s="6">
        <f>IFERROR(VLOOKUP(L254,DM_Giao_vien!$A$3:$H$102,8,FALSE),"")</f>
        <v/>
      </c>
      <c r="O254" s="6" t="n"/>
      <c r="P254" s="6">
        <f>IFERROR(VLOOKUP(O254,DM_Giao_vien!$A$3:$H$102,2,FALSE),"")</f>
        <v/>
      </c>
      <c r="Q254" s="6">
        <f>IFERROR(VLOOKUP(O254,DM_Giao_vien!$A$3:$H$102,8,FALSE),"")</f>
        <v/>
      </c>
      <c r="R254" s="6" t="n"/>
    </row>
    <row r="255">
      <c r="A255" s="5" t="n">
        <v>253</v>
      </c>
      <c r="B255" s="6">
        <f>IF(D255="","",Huong_dan!$B$6)</f>
        <v/>
      </c>
      <c r="C255" s="5" t="n"/>
      <c r="D255" s="5" t="n"/>
      <c r="E255" s="5" t="n"/>
      <c r="F255" s="5" t="n"/>
      <c r="G255" s="5">
        <f>IFERROR(VLOOKUP(F255,DM_Mon_GDPT2018!$A$3:$G$20,2,FALSE),"")</f>
        <v/>
      </c>
      <c r="H255" s="5">
        <f>IFERROR(VLOOKUP(F255,DM_Mon_GDPT2018!$A$3:$G$20,3,FALSE),"")</f>
        <v/>
      </c>
      <c r="I255" s="5">
        <f>IFERROR(VLOOKUP(F255,DM_Mon_GDPT2018!$A$3:$G$20,5,FALSE),"")</f>
        <v/>
      </c>
      <c r="J255" s="6">
        <f>IF($I255="","",ROUND($I255*Huong_dan!$B$7/Huong_dan!$B$9,0))</f>
        <v/>
      </c>
      <c r="K255" s="6">
        <f>IF($I255="","",$I255-$J255)</f>
        <v/>
      </c>
      <c r="L255" s="6" t="n"/>
      <c r="M255" s="6">
        <f>IFERROR(VLOOKUP(L255,DM_Giao_vien!$A$3:$H$102,2,FALSE),"")</f>
        <v/>
      </c>
      <c r="N255" s="6">
        <f>IFERROR(VLOOKUP(L255,DM_Giao_vien!$A$3:$H$102,8,FALSE),"")</f>
        <v/>
      </c>
      <c r="O255" s="6" t="n"/>
      <c r="P255" s="6">
        <f>IFERROR(VLOOKUP(O255,DM_Giao_vien!$A$3:$H$102,2,FALSE),"")</f>
        <v/>
      </c>
      <c r="Q255" s="6">
        <f>IFERROR(VLOOKUP(O255,DM_Giao_vien!$A$3:$H$102,8,FALSE),"")</f>
        <v/>
      </c>
      <c r="R255" s="6" t="n"/>
    </row>
    <row r="256">
      <c r="A256" s="5" t="n">
        <v>254</v>
      </c>
      <c r="B256" s="6">
        <f>IF(D256="","",Huong_dan!$B$6)</f>
        <v/>
      </c>
      <c r="C256" s="5" t="n"/>
      <c r="D256" s="5" t="n"/>
      <c r="E256" s="5" t="n"/>
      <c r="F256" s="5" t="n"/>
      <c r="G256" s="5">
        <f>IFERROR(VLOOKUP(F256,DM_Mon_GDPT2018!$A$3:$G$20,2,FALSE),"")</f>
        <v/>
      </c>
      <c r="H256" s="5">
        <f>IFERROR(VLOOKUP(F256,DM_Mon_GDPT2018!$A$3:$G$20,3,FALSE),"")</f>
        <v/>
      </c>
      <c r="I256" s="5">
        <f>IFERROR(VLOOKUP(F256,DM_Mon_GDPT2018!$A$3:$G$20,5,FALSE),"")</f>
        <v/>
      </c>
      <c r="J256" s="6">
        <f>IF($I256="","",ROUND($I256*Huong_dan!$B$7/Huong_dan!$B$9,0))</f>
        <v/>
      </c>
      <c r="K256" s="6">
        <f>IF($I256="","",$I256-$J256)</f>
        <v/>
      </c>
      <c r="L256" s="6" t="n"/>
      <c r="M256" s="6">
        <f>IFERROR(VLOOKUP(L256,DM_Giao_vien!$A$3:$H$102,2,FALSE),"")</f>
        <v/>
      </c>
      <c r="N256" s="6">
        <f>IFERROR(VLOOKUP(L256,DM_Giao_vien!$A$3:$H$102,8,FALSE),"")</f>
        <v/>
      </c>
      <c r="O256" s="6" t="n"/>
      <c r="P256" s="6">
        <f>IFERROR(VLOOKUP(O256,DM_Giao_vien!$A$3:$H$102,2,FALSE),"")</f>
        <v/>
      </c>
      <c r="Q256" s="6">
        <f>IFERROR(VLOOKUP(O256,DM_Giao_vien!$A$3:$H$102,8,FALSE),"")</f>
        <v/>
      </c>
      <c r="R256" s="6" t="n"/>
    </row>
    <row r="257">
      <c r="A257" s="5" t="n">
        <v>255</v>
      </c>
      <c r="B257" s="6">
        <f>IF(D257="","",Huong_dan!$B$6)</f>
        <v/>
      </c>
      <c r="C257" s="5" t="n"/>
      <c r="D257" s="5" t="n"/>
      <c r="E257" s="5" t="n"/>
      <c r="F257" s="5" t="n"/>
      <c r="G257" s="5">
        <f>IFERROR(VLOOKUP(F257,DM_Mon_GDPT2018!$A$3:$G$20,2,FALSE),"")</f>
        <v/>
      </c>
      <c r="H257" s="5">
        <f>IFERROR(VLOOKUP(F257,DM_Mon_GDPT2018!$A$3:$G$20,3,FALSE),"")</f>
        <v/>
      </c>
      <c r="I257" s="5">
        <f>IFERROR(VLOOKUP(F257,DM_Mon_GDPT2018!$A$3:$G$20,5,FALSE),"")</f>
        <v/>
      </c>
      <c r="J257" s="6">
        <f>IF($I257="","",ROUND($I257*Huong_dan!$B$7/Huong_dan!$B$9,0))</f>
        <v/>
      </c>
      <c r="K257" s="6">
        <f>IF($I257="","",$I257-$J257)</f>
        <v/>
      </c>
      <c r="L257" s="6" t="n"/>
      <c r="M257" s="6">
        <f>IFERROR(VLOOKUP(L257,DM_Giao_vien!$A$3:$H$102,2,FALSE),"")</f>
        <v/>
      </c>
      <c r="N257" s="6">
        <f>IFERROR(VLOOKUP(L257,DM_Giao_vien!$A$3:$H$102,8,FALSE),"")</f>
        <v/>
      </c>
      <c r="O257" s="6" t="n"/>
      <c r="P257" s="6">
        <f>IFERROR(VLOOKUP(O257,DM_Giao_vien!$A$3:$H$102,2,FALSE),"")</f>
        <v/>
      </c>
      <c r="Q257" s="6">
        <f>IFERROR(VLOOKUP(O257,DM_Giao_vien!$A$3:$H$102,8,FALSE),"")</f>
        <v/>
      </c>
      <c r="R257" s="6" t="n"/>
    </row>
    <row r="258">
      <c r="A258" s="5" t="n">
        <v>256</v>
      </c>
      <c r="B258" s="6">
        <f>IF(D258="","",Huong_dan!$B$6)</f>
        <v/>
      </c>
      <c r="C258" s="5" t="n"/>
      <c r="D258" s="5" t="n"/>
      <c r="E258" s="5" t="n"/>
      <c r="F258" s="5" t="n"/>
      <c r="G258" s="5">
        <f>IFERROR(VLOOKUP(F258,DM_Mon_GDPT2018!$A$3:$G$20,2,FALSE),"")</f>
        <v/>
      </c>
      <c r="H258" s="5">
        <f>IFERROR(VLOOKUP(F258,DM_Mon_GDPT2018!$A$3:$G$20,3,FALSE),"")</f>
        <v/>
      </c>
      <c r="I258" s="5">
        <f>IFERROR(VLOOKUP(F258,DM_Mon_GDPT2018!$A$3:$G$20,5,FALSE),"")</f>
        <v/>
      </c>
      <c r="J258" s="6">
        <f>IF($I258="","",ROUND($I258*Huong_dan!$B$7/Huong_dan!$B$9,0))</f>
        <v/>
      </c>
      <c r="K258" s="6">
        <f>IF($I258="","",$I258-$J258)</f>
        <v/>
      </c>
      <c r="L258" s="6" t="n"/>
      <c r="M258" s="6">
        <f>IFERROR(VLOOKUP(L258,DM_Giao_vien!$A$3:$H$102,2,FALSE),"")</f>
        <v/>
      </c>
      <c r="N258" s="6">
        <f>IFERROR(VLOOKUP(L258,DM_Giao_vien!$A$3:$H$102,8,FALSE),"")</f>
        <v/>
      </c>
      <c r="O258" s="6" t="n"/>
      <c r="P258" s="6">
        <f>IFERROR(VLOOKUP(O258,DM_Giao_vien!$A$3:$H$102,2,FALSE),"")</f>
        <v/>
      </c>
      <c r="Q258" s="6">
        <f>IFERROR(VLOOKUP(O258,DM_Giao_vien!$A$3:$H$102,8,FALSE),"")</f>
        <v/>
      </c>
      <c r="R258" s="6" t="n"/>
    </row>
    <row r="259">
      <c r="A259" s="5" t="n">
        <v>257</v>
      </c>
      <c r="B259" s="6">
        <f>IF(D259="","",Huong_dan!$B$6)</f>
        <v/>
      </c>
      <c r="C259" s="5" t="n"/>
      <c r="D259" s="5" t="n"/>
      <c r="E259" s="5" t="n"/>
      <c r="F259" s="5" t="n"/>
      <c r="G259" s="5">
        <f>IFERROR(VLOOKUP(F259,DM_Mon_GDPT2018!$A$3:$G$20,2,FALSE),"")</f>
        <v/>
      </c>
      <c r="H259" s="5">
        <f>IFERROR(VLOOKUP(F259,DM_Mon_GDPT2018!$A$3:$G$20,3,FALSE),"")</f>
        <v/>
      </c>
      <c r="I259" s="5">
        <f>IFERROR(VLOOKUP(F259,DM_Mon_GDPT2018!$A$3:$G$20,5,FALSE),"")</f>
        <v/>
      </c>
      <c r="J259" s="6">
        <f>IF($I259="","",ROUND($I259*Huong_dan!$B$7/Huong_dan!$B$9,0))</f>
        <v/>
      </c>
      <c r="K259" s="6">
        <f>IF($I259="","",$I259-$J259)</f>
        <v/>
      </c>
      <c r="L259" s="6" t="n"/>
      <c r="M259" s="6">
        <f>IFERROR(VLOOKUP(L259,DM_Giao_vien!$A$3:$H$102,2,FALSE),"")</f>
        <v/>
      </c>
      <c r="N259" s="6">
        <f>IFERROR(VLOOKUP(L259,DM_Giao_vien!$A$3:$H$102,8,FALSE),"")</f>
        <v/>
      </c>
      <c r="O259" s="6" t="n"/>
      <c r="P259" s="6">
        <f>IFERROR(VLOOKUP(O259,DM_Giao_vien!$A$3:$H$102,2,FALSE),"")</f>
        <v/>
      </c>
      <c r="Q259" s="6">
        <f>IFERROR(VLOOKUP(O259,DM_Giao_vien!$A$3:$H$102,8,FALSE),"")</f>
        <v/>
      </c>
      <c r="R259" s="6" t="n"/>
    </row>
    <row r="260">
      <c r="A260" s="5" t="n">
        <v>258</v>
      </c>
      <c r="B260" s="6">
        <f>IF(D260="","",Huong_dan!$B$6)</f>
        <v/>
      </c>
      <c r="C260" s="5" t="n"/>
      <c r="D260" s="5" t="n"/>
      <c r="E260" s="5" t="n"/>
      <c r="F260" s="5" t="n"/>
      <c r="G260" s="5">
        <f>IFERROR(VLOOKUP(F260,DM_Mon_GDPT2018!$A$3:$G$20,2,FALSE),"")</f>
        <v/>
      </c>
      <c r="H260" s="5">
        <f>IFERROR(VLOOKUP(F260,DM_Mon_GDPT2018!$A$3:$G$20,3,FALSE),"")</f>
        <v/>
      </c>
      <c r="I260" s="5">
        <f>IFERROR(VLOOKUP(F260,DM_Mon_GDPT2018!$A$3:$G$20,5,FALSE),"")</f>
        <v/>
      </c>
      <c r="J260" s="6">
        <f>IF($I260="","",ROUND($I260*Huong_dan!$B$7/Huong_dan!$B$9,0))</f>
        <v/>
      </c>
      <c r="K260" s="6">
        <f>IF($I260="","",$I260-$J260)</f>
        <v/>
      </c>
      <c r="L260" s="6" t="n"/>
      <c r="M260" s="6">
        <f>IFERROR(VLOOKUP(L260,DM_Giao_vien!$A$3:$H$102,2,FALSE),"")</f>
        <v/>
      </c>
      <c r="N260" s="6">
        <f>IFERROR(VLOOKUP(L260,DM_Giao_vien!$A$3:$H$102,8,FALSE),"")</f>
        <v/>
      </c>
      <c r="O260" s="6" t="n"/>
      <c r="P260" s="6">
        <f>IFERROR(VLOOKUP(O260,DM_Giao_vien!$A$3:$H$102,2,FALSE),"")</f>
        <v/>
      </c>
      <c r="Q260" s="6">
        <f>IFERROR(VLOOKUP(O260,DM_Giao_vien!$A$3:$H$102,8,FALSE),"")</f>
        <v/>
      </c>
      <c r="R260" s="6" t="n"/>
    </row>
    <row r="261">
      <c r="A261" s="5" t="n">
        <v>259</v>
      </c>
      <c r="B261" s="6">
        <f>IF(D261="","",Huong_dan!$B$6)</f>
        <v/>
      </c>
      <c r="C261" s="5" t="n"/>
      <c r="D261" s="5" t="n"/>
      <c r="E261" s="5" t="n"/>
      <c r="F261" s="5" t="n"/>
      <c r="G261" s="5">
        <f>IFERROR(VLOOKUP(F261,DM_Mon_GDPT2018!$A$3:$G$20,2,FALSE),"")</f>
        <v/>
      </c>
      <c r="H261" s="5">
        <f>IFERROR(VLOOKUP(F261,DM_Mon_GDPT2018!$A$3:$G$20,3,FALSE),"")</f>
        <v/>
      </c>
      <c r="I261" s="5">
        <f>IFERROR(VLOOKUP(F261,DM_Mon_GDPT2018!$A$3:$G$20,5,FALSE),"")</f>
        <v/>
      </c>
      <c r="J261" s="6">
        <f>IF($I261="","",ROUND($I261*Huong_dan!$B$7/Huong_dan!$B$9,0))</f>
        <v/>
      </c>
      <c r="K261" s="6">
        <f>IF($I261="","",$I261-$J261)</f>
        <v/>
      </c>
      <c r="L261" s="6" t="n"/>
      <c r="M261" s="6">
        <f>IFERROR(VLOOKUP(L261,DM_Giao_vien!$A$3:$H$102,2,FALSE),"")</f>
        <v/>
      </c>
      <c r="N261" s="6">
        <f>IFERROR(VLOOKUP(L261,DM_Giao_vien!$A$3:$H$102,8,FALSE),"")</f>
        <v/>
      </c>
      <c r="O261" s="6" t="n"/>
      <c r="P261" s="6">
        <f>IFERROR(VLOOKUP(O261,DM_Giao_vien!$A$3:$H$102,2,FALSE),"")</f>
        <v/>
      </c>
      <c r="Q261" s="6">
        <f>IFERROR(VLOOKUP(O261,DM_Giao_vien!$A$3:$H$102,8,FALSE),"")</f>
        <v/>
      </c>
      <c r="R261" s="6" t="n"/>
    </row>
    <row r="262">
      <c r="A262" s="5" t="n">
        <v>260</v>
      </c>
      <c r="B262" s="6">
        <f>IF(D262="","",Huong_dan!$B$6)</f>
        <v/>
      </c>
      <c r="C262" s="5" t="n"/>
      <c r="D262" s="5" t="n"/>
      <c r="E262" s="5" t="n"/>
      <c r="F262" s="5" t="n"/>
      <c r="G262" s="5">
        <f>IFERROR(VLOOKUP(F262,DM_Mon_GDPT2018!$A$3:$G$20,2,FALSE),"")</f>
        <v/>
      </c>
      <c r="H262" s="5">
        <f>IFERROR(VLOOKUP(F262,DM_Mon_GDPT2018!$A$3:$G$20,3,FALSE),"")</f>
        <v/>
      </c>
      <c r="I262" s="5">
        <f>IFERROR(VLOOKUP(F262,DM_Mon_GDPT2018!$A$3:$G$20,5,FALSE),"")</f>
        <v/>
      </c>
      <c r="J262" s="6">
        <f>IF($I262="","",ROUND($I262*Huong_dan!$B$7/Huong_dan!$B$9,0))</f>
        <v/>
      </c>
      <c r="K262" s="6">
        <f>IF($I262="","",$I262-$J262)</f>
        <v/>
      </c>
      <c r="L262" s="6" t="n"/>
      <c r="M262" s="6">
        <f>IFERROR(VLOOKUP(L262,DM_Giao_vien!$A$3:$H$102,2,FALSE),"")</f>
        <v/>
      </c>
      <c r="N262" s="6">
        <f>IFERROR(VLOOKUP(L262,DM_Giao_vien!$A$3:$H$102,8,FALSE),"")</f>
        <v/>
      </c>
      <c r="O262" s="6" t="n"/>
      <c r="P262" s="6">
        <f>IFERROR(VLOOKUP(O262,DM_Giao_vien!$A$3:$H$102,2,FALSE),"")</f>
        <v/>
      </c>
      <c r="Q262" s="6">
        <f>IFERROR(VLOOKUP(O262,DM_Giao_vien!$A$3:$H$102,8,FALSE),"")</f>
        <v/>
      </c>
      <c r="R262" s="6" t="n"/>
    </row>
    <row r="263">
      <c r="A263" s="5" t="n">
        <v>261</v>
      </c>
      <c r="B263" s="6">
        <f>IF(D263="","",Huong_dan!$B$6)</f>
        <v/>
      </c>
      <c r="C263" s="5" t="n"/>
      <c r="D263" s="5" t="n"/>
      <c r="E263" s="5" t="n"/>
      <c r="F263" s="5" t="n"/>
      <c r="G263" s="5">
        <f>IFERROR(VLOOKUP(F263,DM_Mon_GDPT2018!$A$3:$G$20,2,FALSE),"")</f>
        <v/>
      </c>
      <c r="H263" s="5">
        <f>IFERROR(VLOOKUP(F263,DM_Mon_GDPT2018!$A$3:$G$20,3,FALSE),"")</f>
        <v/>
      </c>
      <c r="I263" s="5">
        <f>IFERROR(VLOOKUP(F263,DM_Mon_GDPT2018!$A$3:$G$20,5,FALSE),"")</f>
        <v/>
      </c>
      <c r="J263" s="6">
        <f>IF($I263="","",ROUND($I263*Huong_dan!$B$7/Huong_dan!$B$9,0))</f>
        <v/>
      </c>
      <c r="K263" s="6">
        <f>IF($I263="","",$I263-$J263)</f>
        <v/>
      </c>
      <c r="L263" s="6" t="n"/>
      <c r="M263" s="6">
        <f>IFERROR(VLOOKUP(L263,DM_Giao_vien!$A$3:$H$102,2,FALSE),"")</f>
        <v/>
      </c>
      <c r="N263" s="6">
        <f>IFERROR(VLOOKUP(L263,DM_Giao_vien!$A$3:$H$102,8,FALSE),"")</f>
        <v/>
      </c>
      <c r="O263" s="6" t="n"/>
      <c r="P263" s="6">
        <f>IFERROR(VLOOKUP(O263,DM_Giao_vien!$A$3:$H$102,2,FALSE),"")</f>
        <v/>
      </c>
      <c r="Q263" s="6">
        <f>IFERROR(VLOOKUP(O263,DM_Giao_vien!$A$3:$H$102,8,FALSE),"")</f>
        <v/>
      </c>
      <c r="R263" s="6" t="n"/>
    </row>
    <row r="264">
      <c r="A264" s="5" t="n">
        <v>262</v>
      </c>
      <c r="B264" s="6">
        <f>IF(D264="","",Huong_dan!$B$6)</f>
        <v/>
      </c>
      <c r="C264" s="5" t="n"/>
      <c r="D264" s="5" t="n"/>
      <c r="E264" s="5" t="n"/>
      <c r="F264" s="5" t="n"/>
      <c r="G264" s="5">
        <f>IFERROR(VLOOKUP(F264,DM_Mon_GDPT2018!$A$3:$G$20,2,FALSE),"")</f>
        <v/>
      </c>
      <c r="H264" s="5">
        <f>IFERROR(VLOOKUP(F264,DM_Mon_GDPT2018!$A$3:$G$20,3,FALSE),"")</f>
        <v/>
      </c>
      <c r="I264" s="5">
        <f>IFERROR(VLOOKUP(F264,DM_Mon_GDPT2018!$A$3:$G$20,5,FALSE),"")</f>
        <v/>
      </c>
      <c r="J264" s="6">
        <f>IF($I264="","",ROUND($I264*Huong_dan!$B$7/Huong_dan!$B$9,0))</f>
        <v/>
      </c>
      <c r="K264" s="6">
        <f>IF($I264="","",$I264-$J264)</f>
        <v/>
      </c>
      <c r="L264" s="6" t="n"/>
      <c r="M264" s="6">
        <f>IFERROR(VLOOKUP(L264,DM_Giao_vien!$A$3:$H$102,2,FALSE),"")</f>
        <v/>
      </c>
      <c r="N264" s="6">
        <f>IFERROR(VLOOKUP(L264,DM_Giao_vien!$A$3:$H$102,8,FALSE),"")</f>
        <v/>
      </c>
      <c r="O264" s="6" t="n"/>
      <c r="P264" s="6">
        <f>IFERROR(VLOOKUP(O264,DM_Giao_vien!$A$3:$H$102,2,FALSE),"")</f>
        <v/>
      </c>
      <c r="Q264" s="6">
        <f>IFERROR(VLOOKUP(O264,DM_Giao_vien!$A$3:$H$102,8,FALSE),"")</f>
        <v/>
      </c>
      <c r="R264" s="6" t="n"/>
    </row>
    <row r="265">
      <c r="A265" s="5" t="n">
        <v>263</v>
      </c>
      <c r="B265" s="6">
        <f>IF(D265="","",Huong_dan!$B$6)</f>
        <v/>
      </c>
      <c r="C265" s="5" t="n"/>
      <c r="D265" s="5" t="n"/>
      <c r="E265" s="5" t="n"/>
      <c r="F265" s="5" t="n"/>
      <c r="G265" s="5">
        <f>IFERROR(VLOOKUP(F265,DM_Mon_GDPT2018!$A$3:$G$20,2,FALSE),"")</f>
        <v/>
      </c>
      <c r="H265" s="5">
        <f>IFERROR(VLOOKUP(F265,DM_Mon_GDPT2018!$A$3:$G$20,3,FALSE),"")</f>
        <v/>
      </c>
      <c r="I265" s="5">
        <f>IFERROR(VLOOKUP(F265,DM_Mon_GDPT2018!$A$3:$G$20,5,FALSE),"")</f>
        <v/>
      </c>
      <c r="J265" s="6">
        <f>IF($I265="","",ROUND($I265*Huong_dan!$B$7/Huong_dan!$B$9,0))</f>
        <v/>
      </c>
      <c r="K265" s="6">
        <f>IF($I265="","",$I265-$J265)</f>
        <v/>
      </c>
      <c r="L265" s="6" t="n"/>
      <c r="M265" s="6">
        <f>IFERROR(VLOOKUP(L265,DM_Giao_vien!$A$3:$H$102,2,FALSE),"")</f>
        <v/>
      </c>
      <c r="N265" s="6">
        <f>IFERROR(VLOOKUP(L265,DM_Giao_vien!$A$3:$H$102,8,FALSE),"")</f>
        <v/>
      </c>
      <c r="O265" s="6" t="n"/>
      <c r="P265" s="6">
        <f>IFERROR(VLOOKUP(O265,DM_Giao_vien!$A$3:$H$102,2,FALSE),"")</f>
        <v/>
      </c>
      <c r="Q265" s="6">
        <f>IFERROR(VLOOKUP(O265,DM_Giao_vien!$A$3:$H$102,8,FALSE),"")</f>
        <v/>
      </c>
      <c r="R265" s="6" t="n"/>
    </row>
    <row r="266">
      <c r="A266" s="5" t="n">
        <v>264</v>
      </c>
      <c r="B266" s="6">
        <f>IF(D266="","",Huong_dan!$B$6)</f>
        <v/>
      </c>
      <c r="C266" s="5" t="n"/>
      <c r="D266" s="5" t="n"/>
      <c r="E266" s="5" t="n"/>
      <c r="F266" s="5" t="n"/>
      <c r="G266" s="5">
        <f>IFERROR(VLOOKUP(F266,DM_Mon_GDPT2018!$A$3:$G$20,2,FALSE),"")</f>
        <v/>
      </c>
      <c r="H266" s="5">
        <f>IFERROR(VLOOKUP(F266,DM_Mon_GDPT2018!$A$3:$G$20,3,FALSE),"")</f>
        <v/>
      </c>
      <c r="I266" s="5">
        <f>IFERROR(VLOOKUP(F266,DM_Mon_GDPT2018!$A$3:$G$20,5,FALSE),"")</f>
        <v/>
      </c>
      <c r="J266" s="6">
        <f>IF($I266="","",ROUND($I266*Huong_dan!$B$7/Huong_dan!$B$9,0))</f>
        <v/>
      </c>
      <c r="K266" s="6">
        <f>IF($I266="","",$I266-$J266)</f>
        <v/>
      </c>
      <c r="L266" s="6" t="n"/>
      <c r="M266" s="6">
        <f>IFERROR(VLOOKUP(L266,DM_Giao_vien!$A$3:$H$102,2,FALSE),"")</f>
        <v/>
      </c>
      <c r="N266" s="6">
        <f>IFERROR(VLOOKUP(L266,DM_Giao_vien!$A$3:$H$102,8,FALSE),"")</f>
        <v/>
      </c>
      <c r="O266" s="6" t="n"/>
      <c r="P266" s="6">
        <f>IFERROR(VLOOKUP(O266,DM_Giao_vien!$A$3:$H$102,2,FALSE),"")</f>
        <v/>
      </c>
      <c r="Q266" s="6">
        <f>IFERROR(VLOOKUP(O266,DM_Giao_vien!$A$3:$H$102,8,FALSE),"")</f>
        <v/>
      </c>
      <c r="R266" s="6" t="n"/>
    </row>
    <row r="267">
      <c r="A267" s="5" t="n">
        <v>265</v>
      </c>
      <c r="B267" s="6">
        <f>IF(D267="","",Huong_dan!$B$6)</f>
        <v/>
      </c>
      <c r="C267" s="5" t="n"/>
      <c r="D267" s="5" t="n"/>
      <c r="E267" s="5" t="n"/>
      <c r="F267" s="5" t="n"/>
      <c r="G267" s="5">
        <f>IFERROR(VLOOKUP(F267,DM_Mon_GDPT2018!$A$3:$G$20,2,FALSE),"")</f>
        <v/>
      </c>
      <c r="H267" s="5">
        <f>IFERROR(VLOOKUP(F267,DM_Mon_GDPT2018!$A$3:$G$20,3,FALSE),"")</f>
        <v/>
      </c>
      <c r="I267" s="5">
        <f>IFERROR(VLOOKUP(F267,DM_Mon_GDPT2018!$A$3:$G$20,5,FALSE),"")</f>
        <v/>
      </c>
      <c r="J267" s="6">
        <f>IF($I267="","",ROUND($I267*Huong_dan!$B$7/Huong_dan!$B$9,0))</f>
        <v/>
      </c>
      <c r="K267" s="6">
        <f>IF($I267="","",$I267-$J267)</f>
        <v/>
      </c>
      <c r="L267" s="6" t="n"/>
      <c r="M267" s="6">
        <f>IFERROR(VLOOKUP(L267,DM_Giao_vien!$A$3:$H$102,2,FALSE),"")</f>
        <v/>
      </c>
      <c r="N267" s="6">
        <f>IFERROR(VLOOKUP(L267,DM_Giao_vien!$A$3:$H$102,8,FALSE),"")</f>
        <v/>
      </c>
      <c r="O267" s="6" t="n"/>
      <c r="P267" s="6">
        <f>IFERROR(VLOOKUP(O267,DM_Giao_vien!$A$3:$H$102,2,FALSE),"")</f>
        <v/>
      </c>
      <c r="Q267" s="6">
        <f>IFERROR(VLOOKUP(O267,DM_Giao_vien!$A$3:$H$102,8,FALSE),"")</f>
        <v/>
      </c>
      <c r="R267" s="6" t="n"/>
    </row>
    <row r="268">
      <c r="A268" s="5" t="n">
        <v>266</v>
      </c>
      <c r="B268" s="6">
        <f>IF(D268="","",Huong_dan!$B$6)</f>
        <v/>
      </c>
      <c r="C268" s="5" t="n"/>
      <c r="D268" s="5" t="n"/>
      <c r="E268" s="5" t="n"/>
      <c r="F268" s="5" t="n"/>
      <c r="G268" s="5">
        <f>IFERROR(VLOOKUP(F268,DM_Mon_GDPT2018!$A$3:$G$20,2,FALSE),"")</f>
        <v/>
      </c>
      <c r="H268" s="5">
        <f>IFERROR(VLOOKUP(F268,DM_Mon_GDPT2018!$A$3:$G$20,3,FALSE),"")</f>
        <v/>
      </c>
      <c r="I268" s="5">
        <f>IFERROR(VLOOKUP(F268,DM_Mon_GDPT2018!$A$3:$G$20,5,FALSE),"")</f>
        <v/>
      </c>
      <c r="J268" s="6">
        <f>IF($I268="","",ROUND($I268*Huong_dan!$B$7/Huong_dan!$B$9,0))</f>
        <v/>
      </c>
      <c r="K268" s="6">
        <f>IF($I268="","",$I268-$J268)</f>
        <v/>
      </c>
      <c r="L268" s="6" t="n"/>
      <c r="M268" s="6">
        <f>IFERROR(VLOOKUP(L268,DM_Giao_vien!$A$3:$H$102,2,FALSE),"")</f>
        <v/>
      </c>
      <c r="N268" s="6">
        <f>IFERROR(VLOOKUP(L268,DM_Giao_vien!$A$3:$H$102,8,FALSE),"")</f>
        <v/>
      </c>
      <c r="O268" s="6" t="n"/>
      <c r="P268" s="6">
        <f>IFERROR(VLOOKUP(O268,DM_Giao_vien!$A$3:$H$102,2,FALSE),"")</f>
        <v/>
      </c>
      <c r="Q268" s="6">
        <f>IFERROR(VLOOKUP(O268,DM_Giao_vien!$A$3:$H$102,8,FALSE),"")</f>
        <v/>
      </c>
      <c r="R268" s="6" t="n"/>
    </row>
    <row r="269">
      <c r="A269" s="5" t="n">
        <v>267</v>
      </c>
      <c r="B269" s="6">
        <f>IF(D269="","",Huong_dan!$B$6)</f>
        <v/>
      </c>
      <c r="C269" s="5" t="n"/>
      <c r="D269" s="5" t="n"/>
      <c r="E269" s="5" t="n"/>
      <c r="F269" s="5" t="n"/>
      <c r="G269" s="5">
        <f>IFERROR(VLOOKUP(F269,DM_Mon_GDPT2018!$A$3:$G$20,2,FALSE),"")</f>
        <v/>
      </c>
      <c r="H269" s="5">
        <f>IFERROR(VLOOKUP(F269,DM_Mon_GDPT2018!$A$3:$G$20,3,FALSE),"")</f>
        <v/>
      </c>
      <c r="I269" s="5">
        <f>IFERROR(VLOOKUP(F269,DM_Mon_GDPT2018!$A$3:$G$20,5,FALSE),"")</f>
        <v/>
      </c>
      <c r="J269" s="6">
        <f>IF($I269="","",ROUND($I269*Huong_dan!$B$7/Huong_dan!$B$9,0))</f>
        <v/>
      </c>
      <c r="K269" s="6">
        <f>IF($I269="","",$I269-$J269)</f>
        <v/>
      </c>
      <c r="L269" s="6" t="n"/>
      <c r="M269" s="6">
        <f>IFERROR(VLOOKUP(L269,DM_Giao_vien!$A$3:$H$102,2,FALSE),"")</f>
        <v/>
      </c>
      <c r="N269" s="6">
        <f>IFERROR(VLOOKUP(L269,DM_Giao_vien!$A$3:$H$102,8,FALSE),"")</f>
        <v/>
      </c>
      <c r="O269" s="6" t="n"/>
      <c r="P269" s="6">
        <f>IFERROR(VLOOKUP(O269,DM_Giao_vien!$A$3:$H$102,2,FALSE),"")</f>
        <v/>
      </c>
      <c r="Q269" s="6">
        <f>IFERROR(VLOOKUP(O269,DM_Giao_vien!$A$3:$H$102,8,FALSE),"")</f>
        <v/>
      </c>
      <c r="R269" s="6" t="n"/>
    </row>
    <row r="270">
      <c r="A270" s="5" t="n">
        <v>268</v>
      </c>
      <c r="B270" s="6">
        <f>IF(D270="","",Huong_dan!$B$6)</f>
        <v/>
      </c>
      <c r="C270" s="5" t="n"/>
      <c r="D270" s="5" t="n"/>
      <c r="E270" s="5" t="n"/>
      <c r="F270" s="5" t="n"/>
      <c r="G270" s="5">
        <f>IFERROR(VLOOKUP(F270,DM_Mon_GDPT2018!$A$3:$G$20,2,FALSE),"")</f>
        <v/>
      </c>
      <c r="H270" s="5">
        <f>IFERROR(VLOOKUP(F270,DM_Mon_GDPT2018!$A$3:$G$20,3,FALSE),"")</f>
        <v/>
      </c>
      <c r="I270" s="5">
        <f>IFERROR(VLOOKUP(F270,DM_Mon_GDPT2018!$A$3:$G$20,5,FALSE),"")</f>
        <v/>
      </c>
      <c r="J270" s="6">
        <f>IF($I270="","",ROUND($I270*Huong_dan!$B$7/Huong_dan!$B$9,0))</f>
        <v/>
      </c>
      <c r="K270" s="6">
        <f>IF($I270="","",$I270-$J270)</f>
        <v/>
      </c>
      <c r="L270" s="6" t="n"/>
      <c r="M270" s="6">
        <f>IFERROR(VLOOKUP(L270,DM_Giao_vien!$A$3:$H$102,2,FALSE),"")</f>
        <v/>
      </c>
      <c r="N270" s="6">
        <f>IFERROR(VLOOKUP(L270,DM_Giao_vien!$A$3:$H$102,8,FALSE),"")</f>
        <v/>
      </c>
      <c r="O270" s="6" t="n"/>
      <c r="P270" s="6">
        <f>IFERROR(VLOOKUP(O270,DM_Giao_vien!$A$3:$H$102,2,FALSE),"")</f>
        <v/>
      </c>
      <c r="Q270" s="6">
        <f>IFERROR(VLOOKUP(O270,DM_Giao_vien!$A$3:$H$102,8,FALSE),"")</f>
        <v/>
      </c>
      <c r="R270" s="6" t="n"/>
    </row>
    <row r="271">
      <c r="A271" s="5" t="n">
        <v>269</v>
      </c>
      <c r="B271" s="6">
        <f>IF(D271="","",Huong_dan!$B$6)</f>
        <v/>
      </c>
      <c r="C271" s="5" t="n"/>
      <c r="D271" s="5" t="n"/>
      <c r="E271" s="5" t="n"/>
      <c r="F271" s="5" t="n"/>
      <c r="G271" s="5">
        <f>IFERROR(VLOOKUP(F271,DM_Mon_GDPT2018!$A$3:$G$20,2,FALSE),"")</f>
        <v/>
      </c>
      <c r="H271" s="5">
        <f>IFERROR(VLOOKUP(F271,DM_Mon_GDPT2018!$A$3:$G$20,3,FALSE),"")</f>
        <v/>
      </c>
      <c r="I271" s="5">
        <f>IFERROR(VLOOKUP(F271,DM_Mon_GDPT2018!$A$3:$G$20,5,FALSE),"")</f>
        <v/>
      </c>
      <c r="J271" s="6">
        <f>IF($I271="","",ROUND($I271*Huong_dan!$B$7/Huong_dan!$B$9,0))</f>
        <v/>
      </c>
      <c r="K271" s="6">
        <f>IF($I271="","",$I271-$J271)</f>
        <v/>
      </c>
      <c r="L271" s="6" t="n"/>
      <c r="M271" s="6">
        <f>IFERROR(VLOOKUP(L271,DM_Giao_vien!$A$3:$H$102,2,FALSE),"")</f>
        <v/>
      </c>
      <c r="N271" s="6">
        <f>IFERROR(VLOOKUP(L271,DM_Giao_vien!$A$3:$H$102,8,FALSE),"")</f>
        <v/>
      </c>
      <c r="O271" s="6" t="n"/>
      <c r="P271" s="6">
        <f>IFERROR(VLOOKUP(O271,DM_Giao_vien!$A$3:$H$102,2,FALSE),"")</f>
        <v/>
      </c>
      <c r="Q271" s="6">
        <f>IFERROR(VLOOKUP(O271,DM_Giao_vien!$A$3:$H$102,8,FALSE),"")</f>
        <v/>
      </c>
      <c r="R271" s="6" t="n"/>
    </row>
    <row r="272">
      <c r="A272" s="5" t="n">
        <v>270</v>
      </c>
      <c r="B272" s="6">
        <f>IF(D272="","",Huong_dan!$B$6)</f>
        <v/>
      </c>
      <c r="C272" s="5" t="n"/>
      <c r="D272" s="5" t="n"/>
      <c r="E272" s="5" t="n"/>
      <c r="F272" s="5" t="n"/>
      <c r="G272" s="5">
        <f>IFERROR(VLOOKUP(F272,DM_Mon_GDPT2018!$A$3:$G$20,2,FALSE),"")</f>
        <v/>
      </c>
      <c r="H272" s="5">
        <f>IFERROR(VLOOKUP(F272,DM_Mon_GDPT2018!$A$3:$G$20,3,FALSE),"")</f>
        <v/>
      </c>
      <c r="I272" s="5">
        <f>IFERROR(VLOOKUP(F272,DM_Mon_GDPT2018!$A$3:$G$20,5,FALSE),"")</f>
        <v/>
      </c>
      <c r="J272" s="6">
        <f>IF($I272="","",ROUND($I272*Huong_dan!$B$7/Huong_dan!$B$9,0))</f>
        <v/>
      </c>
      <c r="K272" s="6">
        <f>IF($I272="","",$I272-$J272)</f>
        <v/>
      </c>
      <c r="L272" s="6" t="n"/>
      <c r="M272" s="6">
        <f>IFERROR(VLOOKUP(L272,DM_Giao_vien!$A$3:$H$102,2,FALSE),"")</f>
        <v/>
      </c>
      <c r="N272" s="6">
        <f>IFERROR(VLOOKUP(L272,DM_Giao_vien!$A$3:$H$102,8,FALSE),"")</f>
        <v/>
      </c>
      <c r="O272" s="6" t="n"/>
      <c r="P272" s="6">
        <f>IFERROR(VLOOKUP(O272,DM_Giao_vien!$A$3:$H$102,2,FALSE),"")</f>
        <v/>
      </c>
      <c r="Q272" s="6">
        <f>IFERROR(VLOOKUP(O272,DM_Giao_vien!$A$3:$H$102,8,FALSE),"")</f>
        <v/>
      </c>
      <c r="R272" s="6" t="n"/>
    </row>
    <row r="273">
      <c r="A273" s="5" t="n">
        <v>271</v>
      </c>
      <c r="B273" s="6">
        <f>IF(D273="","",Huong_dan!$B$6)</f>
        <v/>
      </c>
      <c r="C273" s="5" t="n"/>
      <c r="D273" s="5" t="n"/>
      <c r="E273" s="5" t="n"/>
      <c r="F273" s="5" t="n"/>
      <c r="G273" s="5">
        <f>IFERROR(VLOOKUP(F273,DM_Mon_GDPT2018!$A$3:$G$20,2,FALSE),"")</f>
        <v/>
      </c>
      <c r="H273" s="5">
        <f>IFERROR(VLOOKUP(F273,DM_Mon_GDPT2018!$A$3:$G$20,3,FALSE),"")</f>
        <v/>
      </c>
      <c r="I273" s="5">
        <f>IFERROR(VLOOKUP(F273,DM_Mon_GDPT2018!$A$3:$G$20,5,FALSE),"")</f>
        <v/>
      </c>
      <c r="J273" s="6">
        <f>IF($I273="","",ROUND($I273*Huong_dan!$B$7/Huong_dan!$B$9,0))</f>
        <v/>
      </c>
      <c r="K273" s="6">
        <f>IF($I273="","",$I273-$J273)</f>
        <v/>
      </c>
      <c r="L273" s="6" t="n"/>
      <c r="M273" s="6">
        <f>IFERROR(VLOOKUP(L273,DM_Giao_vien!$A$3:$H$102,2,FALSE),"")</f>
        <v/>
      </c>
      <c r="N273" s="6">
        <f>IFERROR(VLOOKUP(L273,DM_Giao_vien!$A$3:$H$102,8,FALSE),"")</f>
        <v/>
      </c>
      <c r="O273" s="6" t="n"/>
      <c r="P273" s="6">
        <f>IFERROR(VLOOKUP(O273,DM_Giao_vien!$A$3:$H$102,2,FALSE),"")</f>
        <v/>
      </c>
      <c r="Q273" s="6">
        <f>IFERROR(VLOOKUP(O273,DM_Giao_vien!$A$3:$H$102,8,FALSE),"")</f>
        <v/>
      </c>
      <c r="R273" s="6" t="n"/>
    </row>
    <row r="274">
      <c r="A274" s="5" t="n">
        <v>272</v>
      </c>
      <c r="B274" s="6">
        <f>IF(D274="","",Huong_dan!$B$6)</f>
        <v/>
      </c>
      <c r="C274" s="5" t="n"/>
      <c r="D274" s="5" t="n"/>
      <c r="E274" s="5" t="n"/>
      <c r="F274" s="5" t="n"/>
      <c r="G274" s="5">
        <f>IFERROR(VLOOKUP(F274,DM_Mon_GDPT2018!$A$3:$G$20,2,FALSE),"")</f>
        <v/>
      </c>
      <c r="H274" s="5">
        <f>IFERROR(VLOOKUP(F274,DM_Mon_GDPT2018!$A$3:$G$20,3,FALSE),"")</f>
        <v/>
      </c>
      <c r="I274" s="5">
        <f>IFERROR(VLOOKUP(F274,DM_Mon_GDPT2018!$A$3:$G$20,5,FALSE),"")</f>
        <v/>
      </c>
      <c r="J274" s="6">
        <f>IF($I274="","",ROUND($I274*Huong_dan!$B$7/Huong_dan!$B$9,0))</f>
        <v/>
      </c>
      <c r="K274" s="6">
        <f>IF($I274="","",$I274-$J274)</f>
        <v/>
      </c>
      <c r="L274" s="6" t="n"/>
      <c r="M274" s="6">
        <f>IFERROR(VLOOKUP(L274,DM_Giao_vien!$A$3:$H$102,2,FALSE),"")</f>
        <v/>
      </c>
      <c r="N274" s="6">
        <f>IFERROR(VLOOKUP(L274,DM_Giao_vien!$A$3:$H$102,8,FALSE),"")</f>
        <v/>
      </c>
      <c r="O274" s="6" t="n"/>
      <c r="P274" s="6">
        <f>IFERROR(VLOOKUP(O274,DM_Giao_vien!$A$3:$H$102,2,FALSE),"")</f>
        <v/>
      </c>
      <c r="Q274" s="6">
        <f>IFERROR(VLOOKUP(O274,DM_Giao_vien!$A$3:$H$102,8,FALSE),"")</f>
        <v/>
      </c>
      <c r="R274" s="6" t="n"/>
    </row>
    <row r="275">
      <c r="A275" s="5" t="n">
        <v>273</v>
      </c>
      <c r="B275" s="6">
        <f>IF(D275="","",Huong_dan!$B$6)</f>
        <v/>
      </c>
      <c r="C275" s="5" t="n"/>
      <c r="D275" s="5" t="n"/>
      <c r="E275" s="5" t="n"/>
      <c r="F275" s="5" t="n"/>
      <c r="G275" s="5">
        <f>IFERROR(VLOOKUP(F275,DM_Mon_GDPT2018!$A$3:$G$20,2,FALSE),"")</f>
        <v/>
      </c>
      <c r="H275" s="5">
        <f>IFERROR(VLOOKUP(F275,DM_Mon_GDPT2018!$A$3:$G$20,3,FALSE),"")</f>
        <v/>
      </c>
      <c r="I275" s="5">
        <f>IFERROR(VLOOKUP(F275,DM_Mon_GDPT2018!$A$3:$G$20,5,FALSE),"")</f>
        <v/>
      </c>
      <c r="J275" s="6">
        <f>IF($I275="","",ROUND($I275*Huong_dan!$B$7/Huong_dan!$B$9,0))</f>
        <v/>
      </c>
      <c r="K275" s="6">
        <f>IF($I275="","",$I275-$J275)</f>
        <v/>
      </c>
      <c r="L275" s="6" t="n"/>
      <c r="M275" s="6">
        <f>IFERROR(VLOOKUP(L275,DM_Giao_vien!$A$3:$H$102,2,FALSE),"")</f>
        <v/>
      </c>
      <c r="N275" s="6">
        <f>IFERROR(VLOOKUP(L275,DM_Giao_vien!$A$3:$H$102,8,FALSE),"")</f>
        <v/>
      </c>
      <c r="O275" s="6" t="n"/>
      <c r="P275" s="6">
        <f>IFERROR(VLOOKUP(O275,DM_Giao_vien!$A$3:$H$102,2,FALSE),"")</f>
        <v/>
      </c>
      <c r="Q275" s="6">
        <f>IFERROR(VLOOKUP(O275,DM_Giao_vien!$A$3:$H$102,8,FALSE),"")</f>
        <v/>
      </c>
      <c r="R275" s="6" t="n"/>
    </row>
    <row r="276">
      <c r="A276" s="5" t="n">
        <v>274</v>
      </c>
      <c r="B276" s="6">
        <f>IF(D276="","",Huong_dan!$B$6)</f>
        <v/>
      </c>
      <c r="C276" s="5" t="n"/>
      <c r="D276" s="5" t="n"/>
      <c r="E276" s="5" t="n"/>
      <c r="F276" s="5" t="n"/>
      <c r="G276" s="5">
        <f>IFERROR(VLOOKUP(F276,DM_Mon_GDPT2018!$A$3:$G$20,2,FALSE),"")</f>
        <v/>
      </c>
      <c r="H276" s="5">
        <f>IFERROR(VLOOKUP(F276,DM_Mon_GDPT2018!$A$3:$G$20,3,FALSE),"")</f>
        <v/>
      </c>
      <c r="I276" s="5">
        <f>IFERROR(VLOOKUP(F276,DM_Mon_GDPT2018!$A$3:$G$20,5,FALSE),"")</f>
        <v/>
      </c>
      <c r="J276" s="6">
        <f>IF($I276="","",ROUND($I276*Huong_dan!$B$7/Huong_dan!$B$9,0))</f>
        <v/>
      </c>
      <c r="K276" s="6">
        <f>IF($I276="","",$I276-$J276)</f>
        <v/>
      </c>
      <c r="L276" s="6" t="n"/>
      <c r="M276" s="6">
        <f>IFERROR(VLOOKUP(L276,DM_Giao_vien!$A$3:$H$102,2,FALSE),"")</f>
        <v/>
      </c>
      <c r="N276" s="6">
        <f>IFERROR(VLOOKUP(L276,DM_Giao_vien!$A$3:$H$102,8,FALSE),"")</f>
        <v/>
      </c>
      <c r="O276" s="6" t="n"/>
      <c r="P276" s="6">
        <f>IFERROR(VLOOKUP(O276,DM_Giao_vien!$A$3:$H$102,2,FALSE),"")</f>
        <v/>
      </c>
      <c r="Q276" s="6">
        <f>IFERROR(VLOOKUP(O276,DM_Giao_vien!$A$3:$H$102,8,FALSE),"")</f>
        <v/>
      </c>
      <c r="R276" s="6" t="n"/>
    </row>
    <row r="277">
      <c r="A277" s="5" t="n">
        <v>275</v>
      </c>
      <c r="B277" s="6">
        <f>IF(D277="","",Huong_dan!$B$6)</f>
        <v/>
      </c>
      <c r="C277" s="5" t="n"/>
      <c r="D277" s="5" t="n"/>
      <c r="E277" s="5" t="n"/>
      <c r="F277" s="5" t="n"/>
      <c r="G277" s="5">
        <f>IFERROR(VLOOKUP(F277,DM_Mon_GDPT2018!$A$3:$G$20,2,FALSE),"")</f>
        <v/>
      </c>
      <c r="H277" s="5">
        <f>IFERROR(VLOOKUP(F277,DM_Mon_GDPT2018!$A$3:$G$20,3,FALSE),"")</f>
        <v/>
      </c>
      <c r="I277" s="5">
        <f>IFERROR(VLOOKUP(F277,DM_Mon_GDPT2018!$A$3:$G$20,5,FALSE),"")</f>
        <v/>
      </c>
      <c r="J277" s="6">
        <f>IF($I277="","",ROUND($I277*Huong_dan!$B$7/Huong_dan!$B$9,0))</f>
        <v/>
      </c>
      <c r="K277" s="6">
        <f>IF($I277="","",$I277-$J277)</f>
        <v/>
      </c>
      <c r="L277" s="6" t="n"/>
      <c r="M277" s="6">
        <f>IFERROR(VLOOKUP(L277,DM_Giao_vien!$A$3:$H$102,2,FALSE),"")</f>
        <v/>
      </c>
      <c r="N277" s="6">
        <f>IFERROR(VLOOKUP(L277,DM_Giao_vien!$A$3:$H$102,8,FALSE),"")</f>
        <v/>
      </c>
      <c r="O277" s="6" t="n"/>
      <c r="P277" s="6">
        <f>IFERROR(VLOOKUP(O277,DM_Giao_vien!$A$3:$H$102,2,FALSE),"")</f>
        <v/>
      </c>
      <c r="Q277" s="6">
        <f>IFERROR(VLOOKUP(O277,DM_Giao_vien!$A$3:$H$102,8,FALSE),"")</f>
        <v/>
      </c>
      <c r="R277" s="6" t="n"/>
    </row>
    <row r="278">
      <c r="A278" s="5" t="n">
        <v>276</v>
      </c>
      <c r="B278" s="6">
        <f>IF(D278="","",Huong_dan!$B$6)</f>
        <v/>
      </c>
      <c r="C278" s="5" t="n"/>
      <c r="D278" s="5" t="n"/>
      <c r="E278" s="5" t="n"/>
      <c r="F278" s="5" t="n"/>
      <c r="G278" s="5">
        <f>IFERROR(VLOOKUP(F278,DM_Mon_GDPT2018!$A$3:$G$20,2,FALSE),"")</f>
        <v/>
      </c>
      <c r="H278" s="5">
        <f>IFERROR(VLOOKUP(F278,DM_Mon_GDPT2018!$A$3:$G$20,3,FALSE),"")</f>
        <v/>
      </c>
      <c r="I278" s="5">
        <f>IFERROR(VLOOKUP(F278,DM_Mon_GDPT2018!$A$3:$G$20,5,FALSE),"")</f>
        <v/>
      </c>
      <c r="J278" s="6">
        <f>IF($I278="","",ROUND($I278*Huong_dan!$B$7/Huong_dan!$B$9,0))</f>
        <v/>
      </c>
      <c r="K278" s="6">
        <f>IF($I278="","",$I278-$J278)</f>
        <v/>
      </c>
      <c r="L278" s="6" t="n"/>
      <c r="M278" s="6">
        <f>IFERROR(VLOOKUP(L278,DM_Giao_vien!$A$3:$H$102,2,FALSE),"")</f>
        <v/>
      </c>
      <c r="N278" s="6">
        <f>IFERROR(VLOOKUP(L278,DM_Giao_vien!$A$3:$H$102,8,FALSE),"")</f>
        <v/>
      </c>
      <c r="O278" s="6" t="n"/>
      <c r="P278" s="6">
        <f>IFERROR(VLOOKUP(O278,DM_Giao_vien!$A$3:$H$102,2,FALSE),"")</f>
        <v/>
      </c>
      <c r="Q278" s="6">
        <f>IFERROR(VLOOKUP(O278,DM_Giao_vien!$A$3:$H$102,8,FALSE),"")</f>
        <v/>
      </c>
      <c r="R278" s="6" t="n"/>
    </row>
    <row r="279">
      <c r="A279" s="5" t="n">
        <v>277</v>
      </c>
      <c r="B279" s="6">
        <f>IF(D279="","",Huong_dan!$B$6)</f>
        <v/>
      </c>
      <c r="C279" s="5" t="n"/>
      <c r="D279" s="5" t="n"/>
      <c r="E279" s="5" t="n"/>
      <c r="F279" s="5" t="n"/>
      <c r="G279" s="5">
        <f>IFERROR(VLOOKUP(F279,DM_Mon_GDPT2018!$A$3:$G$20,2,FALSE),"")</f>
        <v/>
      </c>
      <c r="H279" s="5">
        <f>IFERROR(VLOOKUP(F279,DM_Mon_GDPT2018!$A$3:$G$20,3,FALSE),"")</f>
        <v/>
      </c>
      <c r="I279" s="5">
        <f>IFERROR(VLOOKUP(F279,DM_Mon_GDPT2018!$A$3:$G$20,5,FALSE),"")</f>
        <v/>
      </c>
      <c r="J279" s="6">
        <f>IF($I279="","",ROUND($I279*Huong_dan!$B$7/Huong_dan!$B$9,0))</f>
        <v/>
      </c>
      <c r="K279" s="6">
        <f>IF($I279="","",$I279-$J279)</f>
        <v/>
      </c>
      <c r="L279" s="6" t="n"/>
      <c r="M279" s="6">
        <f>IFERROR(VLOOKUP(L279,DM_Giao_vien!$A$3:$H$102,2,FALSE),"")</f>
        <v/>
      </c>
      <c r="N279" s="6">
        <f>IFERROR(VLOOKUP(L279,DM_Giao_vien!$A$3:$H$102,8,FALSE),"")</f>
        <v/>
      </c>
      <c r="O279" s="6" t="n"/>
      <c r="P279" s="6">
        <f>IFERROR(VLOOKUP(O279,DM_Giao_vien!$A$3:$H$102,2,FALSE),"")</f>
        <v/>
      </c>
      <c r="Q279" s="6">
        <f>IFERROR(VLOOKUP(O279,DM_Giao_vien!$A$3:$H$102,8,FALSE),"")</f>
        <v/>
      </c>
      <c r="R279" s="6" t="n"/>
    </row>
    <row r="280">
      <c r="A280" s="5" t="n">
        <v>278</v>
      </c>
      <c r="B280" s="6">
        <f>IF(D280="","",Huong_dan!$B$6)</f>
        <v/>
      </c>
      <c r="C280" s="5" t="n"/>
      <c r="D280" s="5" t="n"/>
      <c r="E280" s="5" t="n"/>
      <c r="F280" s="5" t="n"/>
      <c r="G280" s="5">
        <f>IFERROR(VLOOKUP(F280,DM_Mon_GDPT2018!$A$3:$G$20,2,FALSE),"")</f>
        <v/>
      </c>
      <c r="H280" s="5">
        <f>IFERROR(VLOOKUP(F280,DM_Mon_GDPT2018!$A$3:$G$20,3,FALSE),"")</f>
        <v/>
      </c>
      <c r="I280" s="5">
        <f>IFERROR(VLOOKUP(F280,DM_Mon_GDPT2018!$A$3:$G$20,5,FALSE),"")</f>
        <v/>
      </c>
      <c r="J280" s="6">
        <f>IF($I280="","",ROUND($I280*Huong_dan!$B$7/Huong_dan!$B$9,0))</f>
        <v/>
      </c>
      <c r="K280" s="6">
        <f>IF($I280="","",$I280-$J280)</f>
        <v/>
      </c>
      <c r="L280" s="6" t="n"/>
      <c r="M280" s="6">
        <f>IFERROR(VLOOKUP(L280,DM_Giao_vien!$A$3:$H$102,2,FALSE),"")</f>
        <v/>
      </c>
      <c r="N280" s="6">
        <f>IFERROR(VLOOKUP(L280,DM_Giao_vien!$A$3:$H$102,8,FALSE),"")</f>
        <v/>
      </c>
      <c r="O280" s="6" t="n"/>
      <c r="P280" s="6">
        <f>IFERROR(VLOOKUP(O280,DM_Giao_vien!$A$3:$H$102,2,FALSE),"")</f>
        <v/>
      </c>
      <c r="Q280" s="6">
        <f>IFERROR(VLOOKUP(O280,DM_Giao_vien!$A$3:$H$102,8,FALSE),"")</f>
        <v/>
      </c>
      <c r="R280" s="6" t="n"/>
    </row>
    <row r="281">
      <c r="A281" s="5" t="n">
        <v>279</v>
      </c>
      <c r="B281" s="6">
        <f>IF(D281="","",Huong_dan!$B$6)</f>
        <v/>
      </c>
      <c r="C281" s="5" t="n"/>
      <c r="D281" s="5" t="n"/>
      <c r="E281" s="5" t="n"/>
      <c r="F281" s="5" t="n"/>
      <c r="G281" s="5">
        <f>IFERROR(VLOOKUP(F281,DM_Mon_GDPT2018!$A$3:$G$20,2,FALSE),"")</f>
        <v/>
      </c>
      <c r="H281" s="5">
        <f>IFERROR(VLOOKUP(F281,DM_Mon_GDPT2018!$A$3:$G$20,3,FALSE),"")</f>
        <v/>
      </c>
      <c r="I281" s="5">
        <f>IFERROR(VLOOKUP(F281,DM_Mon_GDPT2018!$A$3:$G$20,5,FALSE),"")</f>
        <v/>
      </c>
      <c r="J281" s="6">
        <f>IF($I281="","",ROUND($I281*Huong_dan!$B$7/Huong_dan!$B$9,0))</f>
        <v/>
      </c>
      <c r="K281" s="6">
        <f>IF($I281="","",$I281-$J281)</f>
        <v/>
      </c>
      <c r="L281" s="6" t="n"/>
      <c r="M281" s="6">
        <f>IFERROR(VLOOKUP(L281,DM_Giao_vien!$A$3:$H$102,2,FALSE),"")</f>
        <v/>
      </c>
      <c r="N281" s="6">
        <f>IFERROR(VLOOKUP(L281,DM_Giao_vien!$A$3:$H$102,8,FALSE),"")</f>
        <v/>
      </c>
      <c r="O281" s="6" t="n"/>
      <c r="P281" s="6">
        <f>IFERROR(VLOOKUP(O281,DM_Giao_vien!$A$3:$H$102,2,FALSE),"")</f>
        <v/>
      </c>
      <c r="Q281" s="6">
        <f>IFERROR(VLOOKUP(O281,DM_Giao_vien!$A$3:$H$102,8,FALSE),"")</f>
        <v/>
      </c>
      <c r="R281" s="6" t="n"/>
    </row>
    <row r="282">
      <c r="A282" s="5" t="n">
        <v>280</v>
      </c>
      <c r="B282" s="6">
        <f>IF(D282="","",Huong_dan!$B$6)</f>
        <v/>
      </c>
      <c r="C282" s="5" t="n"/>
      <c r="D282" s="5" t="n"/>
      <c r="E282" s="5" t="n"/>
      <c r="F282" s="5" t="n"/>
      <c r="G282" s="5">
        <f>IFERROR(VLOOKUP(F282,DM_Mon_GDPT2018!$A$3:$G$20,2,FALSE),"")</f>
        <v/>
      </c>
      <c r="H282" s="5">
        <f>IFERROR(VLOOKUP(F282,DM_Mon_GDPT2018!$A$3:$G$20,3,FALSE),"")</f>
        <v/>
      </c>
      <c r="I282" s="5">
        <f>IFERROR(VLOOKUP(F282,DM_Mon_GDPT2018!$A$3:$G$20,5,FALSE),"")</f>
        <v/>
      </c>
      <c r="J282" s="6">
        <f>IF($I282="","",ROUND($I282*Huong_dan!$B$7/Huong_dan!$B$9,0))</f>
        <v/>
      </c>
      <c r="K282" s="6">
        <f>IF($I282="","",$I282-$J282)</f>
        <v/>
      </c>
      <c r="L282" s="6" t="n"/>
      <c r="M282" s="6">
        <f>IFERROR(VLOOKUP(L282,DM_Giao_vien!$A$3:$H$102,2,FALSE),"")</f>
        <v/>
      </c>
      <c r="N282" s="6">
        <f>IFERROR(VLOOKUP(L282,DM_Giao_vien!$A$3:$H$102,8,FALSE),"")</f>
        <v/>
      </c>
      <c r="O282" s="6" t="n"/>
      <c r="P282" s="6">
        <f>IFERROR(VLOOKUP(O282,DM_Giao_vien!$A$3:$H$102,2,FALSE),"")</f>
        <v/>
      </c>
      <c r="Q282" s="6">
        <f>IFERROR(VLOOKUP(O282,DM_Giao_vien!$A$3:$H$102,8,FALSE),"")</f>
        <v/>
      </c>
      <c r="R282" s="6" t="n"/>
    </row>
    <row r="283">
      <c r="A283" s="5" t="n">
        <v>281</v>
      </c>
      <c r="B283" s="6">
        <f>IF(D283="","",Huong_dan!$B$6)</f>
        <v/>
      </c>
      <c r="C283" s="5" t="n"/>
      <c r="D283" s="5" t="n"/>
      <c r="E283" s="5" t="n"/>
      <c r="F283" s="5" t="n"/>
      <c r="G283" s="5">
        <f>IFERROR(VLOOKUP(F283,DM_Mon_GDPT2018!$A$3:$G$20,2,FALSE),"")</f>
        <v/>
      </c>
      <c r="H283" s="5">
        <f>IFERROR(VLOOKUP(F283,DM_Mon_GDPT2018!$A$3:$G$20,3,FALSE),"")</f>
        <v/>
      </c>
      <c r="I283" s="5">
        <f>IFERROR(VLOOKUP(F283,DM_Mon_GDPT2018!$A$3:$G$20,5,FALSE),"")</f>
        <v/>
      </c>
      <c r="J283" s="6">
        <f>IF($I283="","",ROUND($I283*Huong_dan!$B$7/Huong_dan!$B$9,0))</f>
        <v/>
      </c>
      <c r="K283" s="6">
        <f>IF($I283="","",$I283-$J283)</f>
        <v/>
      </c>
      <c r="L283" s="6" t="n"/>
      <c r="M283" s="6">
        <f>IFERROR(VLOOKUP(L283,DM_Giao_vien!$A$3:$H$102,2,FALSE),"")</f>
        <v/>
      </c>
      <c r="N283" s="6">
        <f>IFERROR(VLOOKUP(L283,DM_Giao_vien!$A$3:$H$102,8,FALSE),"")</f>
        <v/>
      </c>
      <c r="O283" s="6" t="n"/>
      <c r="P283" s="6">
        <f>IFERROR(VLOOKUP(O283,DM_Giao_vien!$A$3:$H$102,2,FALSE),"")</f>
        <v/>
      </c>
      <c r="Q283" s="6">
        <f>IFERROR(VLOOKUP(O283,DM_Giao_vien!$A$3:$H$102,8,FALSE),"")</f>
        <v/>
      </c>
      <c r="R283" s="6" t="n"/>
    </row>
    <row r="284">
      <c r="A284" s="5" t="n">
        <v>282</v>
      </c>
      <c r="B284" s="6">
        <f>IF(D284="","",Huong_dan!$B$6)</f>
        <v/>
      </c>
      <c r="C284" s="5" t="n"/>
      <c r="D284" s="5" t="n"/>
      <c r="E284" s="5" t="n"/>
      <c r="F284" s="5" t="n"/>
      <c r="G284" s="5">
        <f>IFERROR(VLOOKUP(F284,DM_Mon_GDPT2018!$A$3:$G$20,2,FALSE),"")</f>
        <v/>
      </c>
      <c r="H284" s="5">
        <f>IFERROR(VLOOKUP(F284,DM_Mon_GDPT2018!$A$3:$G$20,3,FALSE),"")</f>
        <v/>
      </c>
      <c r="I284" s="5">
        <f>IFERROR(VLOOKUP(F284,DM_Mon_GDPT2018!$A$3:$G$20,5,FALSE),"")</f>
        <v/>
      </c>
      <c r="J284" s="6">
        <f>IF($I284="","",ROUND($I284*Huong_dan!$B$7/Huong_dan!$B$9,0))</f>
        <v/>
      </c>
      <c r="K284" s="6">
        <f>IF($I284="","",$I284-$J284)</f>
        <v/>
      </c>
      <c r="L284" s="6" t="n"/>
      <c r="M284" s="6">
        <f>IFERROR(VLOOKUP(L284,DM_Giao_vien!$A$3:$H$102,2,FALSE),"")</f>
        <v/>
      </c>
      <c r="N284" s="6">
        <f>IFERROR(VLOOKUP(L284,DM_Giao_vien!$A$3:$H$102,8,FALSE),"")</f>
        <v/>
      </c>
      <c r="O284" s="6" t="n"/>
      <c r="P284" s="6">
        <f>IFERROR(VLOOKUP(O284,DM_Giao_vien!$A$3:$H$102,2,FALSE),"")</f>
        <v/>
      </c>
      <c r="Q284" s="6">
        <f>IFERROR(VLOOKUP(O284,DM_Giao_vien!$A$3:$H$102,8,FALSE),"")</f>
        <v/>
      </c>
      <c r="R284" s="6" t="n"/>
    </row>
    <row r="285">
      <c r="A285" s="5" t="n">
        <v>283</v>
      </c>
      <c r="B285" s="6">
        <f>IF(D285="","",Huong_dan!$B$6)</f>
        <v/>
      </c>
      <c r="C285" s="5" t="n"/>
      <c r="D285" s="5" t="n"/>
      <c r="E285" s="5" t="n"/>
      <c r="F285" s="5" t="n"/>
      <c r="G285" s="5">
        <f>IFERROR(VLOOKUP(F285,DM_Mon_GDPT2018!$A$3:$G$20,2,FALSE),"")</f>
        <v/>
      </c>
      <c r="H285" s="5">
        <f>IFERROR(VLOOKUP(F285,DM_Mon_GDPT2018!$A$3:$G$20,3,FALSE),"")</f>
        <v/>
      </c>
      <c r="I285" s="5">
        <f>IFERROR(VLOOKUP(F285,DM_Mon_GDPT2018!$A$3:$G$20,5,FALSE),"")</f>
        <v/>
      </c>
      <c r="J285" s="6">
        <f>IF($I285="","",ROUND($I285*Huong_dan!$B$7/Huong_dan!$B$9,0))</f>
        <v/>
      </c>
      <c r="K285" s="6">
        <f>IF($I285="","",$I285-$J285)</f>
        <v/>
      </c>
      <c r="L285" s="6" t="n"/>
      <c r="M285" s="6">
        <f>IFERROR(VLOOKUP(L285,DM_Giao_vien!$A$3:$H$102,2,FALSE),"")</f>
        <v/>
      </c>
      <c r="N285" s="6">
        <f>IFERROR(VLOOKUP(L285,DM_Giao_vien!$A$3:$H$102,8,FALSE),"")</f>
        <v/>
      </c>
      <c r="O285" s="6" t="n"/>
      <c r="P285" s="6">
        <f>IFERROR(VLOOKUP(O285,DM_Giao_vien!$A$3:$H$102,2,FALSE),"")</f>
        <v/>
      </c>
      <c r="Q285" s="6">
        <f>IFERROR(VLOOKUP(O285,DM_Giao_vien!$A$3:$H$102,8,FALSE),"")</f>
        <v/>
      </c>
      <c r="R285" s="6" t="n"/>
    </row>
    <row r="286">
      <c r="A286" s="5" t="n">
        <v>284</v>
      </c>
      <c r="B286" s="6">
        <f>IF(D286="","",Huong_dan!$B$6)</f>
        <v/>
      </c>
      <c r="C286" s="5" t="n"/>
      <c r="D286" s="5" t="n"/>
      <c r="E286" s="5" t="n"/>
      <c r="F286" s="5" t="n"/>
      <c r="G286" s="5">
        <f>IFERROR(VLOOKUP(F286,DM_Mon_GDPT2018!$A$3:$G$20,2,FALSE),"")</f>
        <v/>
      </c>
      <c r="H286" s="5">
        <f>IFERROR(VLOOKUP(F286,DM_Mon_GDPT2018!$A$3:$G$20,3,FALSE),"")</f>
        <v/>
      </c>
      <c r="I286" s="5">
        <f>IFERROR(VLOOKUP(F286,DM_Mon_GDPT2018!$A$3:$G$20,5,FALSE),"")</f>
        <v/>
      </c>
      <c r="J286" s="6">
        <f>IF($I286="","",ROUND($I286*Huong_dan!$B$7/Huong_dan!$B$9,0))</f>
        <v/>
      </c>
      <c r="K286" s="6">
        <f>IF($I286="","",$I286-$J286)</f>
        <v/>
      </c>
      <c r="L286" s="6" t="n"/>
      <c r="M286" s="6">
        <f>IFERROR(VLOOKUP(L286,DM_Giao_vien!$A$3:$H$102,2,FALSE),"")</f>
        <v/>
      </c>
      <c r="N286" s="6">
        <f>IFERROR(VLOOKUP(L286,DM_Giao_vien!$A$3:$H$102,8,FALSE),"")</f>
        <v/>
      </c>
      <c r="O286" s="6" t="n"/>
      <c r="P286" s="6">
        <f>IFERROR(VLOOKUP(O286,DM_Giao_vien!$A$3:$H$102,2,FALSE),"")</f>
        <v/>
      </c>
      <c r="Q286" s="6">
        <f>IFERROR(VLOOKUP(O286,DM_Giao_vien!$A$3:$H$102,8,FALSE),"")</f>
        <v/>
      </c>
      <c r="R286" s="6" t="n"/>
    </row>
    <row r="287">
      <c r="A287" s="5" t="n">
        <v>285</v>
      </c>
      <c r="B287" s="6">
        <f>IF(D287="","",Huong_dan!$B$6)</f>
        <v/>
      </c>
      <c r="C287" s="5" t="n"/>
      <c r="D287" s="5" t="n"/>
      <c r="E287" s="5" t="n"/>
      <c r="F287" s="5" t="n"/>
      <c r="G287" s="5">
        <f>IFERROR(VLOOKUP(F287,DM_Mon_GDPT2018!$A$3:$G$20,2,FALSE),"")</f>
        <v/>
      </c>
      <c r="H287" s="5">
        <f>IFERROR(VLOOKUP(F287,DM_Mon_GDPT2018!$A$3:$G$20,3,FALSE),"")</f>
        <v/>
      </c>
      <c r="I287" s="5">
        <f>IFERROR(VLOOKUP(F287,DM_Mon_GDPT2018!$A$3:$G$20,5,FALSE),"")</f>
        <v/>
      </c>
      <c r="J287" s="6">
        <f>IF($I287="","",ROUND($I287*Huong_dan!$B$7/Huong_dan!$B$9,0))</f>
        <v/>
      </c>
      <c r="K287" s="6">
        <f>IF($I287="","",$I287-$J287)</f>
        <v/>
      </c>
      <c r="L287" s="6" t="n"/>
      <c r="M287" s="6">
        <f>IFERROR(VLOOKUP(L287,DM_Giao_vien!$A$3:$H$102,2,FALSE),"")</f>
        <v/>
      </c>
      <c r="N287" s="6">
        <f>IFERROR(VLOOKUP(L287,DM_Giao_vien!$A$3:$H$102,8,FALSE),"")</f>
        <v/>
      </c>
      <c r="O287" s="6" t="n"/>
      <c r="P287" s="6">
        <f>IFERROR(VLOOKUP(O287,DM_Giao_vien!$A$3:$H$102,2,FALSE),"")</f>
        <v/>
      </c>
      <c r="Q287" s="6">
        <f>IFERROR(VLOOKUP(O287,DM_Giao_vien!$A$3:$H$102,8,FALSE),"")</f>
        <v/>
      </c>
      <c r="R287" s="6" t="n"/>
    </row>
    <row r="288">
      <c r="A288" s="5" t="n">
        <v>286</v>
      </c>
      <c r="B288" s="6">
        <f>IF(D288="","",Huong_dan!$B$6)</f>
        <v/>
      </c>
      <c r="C288" s="5" t="n"/>
      <c r="D288" s="5" t="n"/>
      <c r="E288" s="5" t="n"/>
      <c r="F288" s="5" t="n"/>
      <c r="G288" s="5">
        <f>IFERROR(VLOOKUP(F288,DM_Mon_GDPT2018!$A$3:$G$20,2,FALSE),"")</f>
        <v/>
      </c>
      <c r="H288" s="5">
        <f>IFERROR(VLOOKUP(F288,DM_Mon_GDPT2018!$A$3:$G$20,3,FALSE),"")</f>
        <v/>
      </c>
      <c r="I288" s="5">
        <f>IFERROR(VLOOKUP(F288,DM_Mon_GDPT2018!$A$3:$G$20,5,FALSE),"")</f>
        <v/>
      </c>
      <c r="J288" s="6">
        <f>IF($I288="","",ROUND($I288*Huong_dan!$B$7/Huong_dan!$B$9,0))</f>
        <v/>
      </c>
      <c r="K288" s="6">
        <f>IF($I288="","",$I288-$J288)</f>
        <v/>
      </c>
      <c r="L288" s="6" t="n"/>
      <c r="M288" s="6">
        <f>IFERROR(VLOOKUP(L288,DM_Giao_vien!$A$3:$H$102,2,FALSE),"")</f>
        <v/>
      </c>
      <c r="N288" s="6">
        <f>IFERROR(VLOOKUP(L288,DM_Giao_vien!$A$3:$H$102,8,FALSE),"")</f>
        <v/>
      </c>
      <c r="O288" s="6" t="n"/>
      <c r="P288" s="6">
        <f>IFERROR(VLOOKUP(O288,DM_Giao_vien!$A$3:$H$102,2,FALSE),"")</f>
        <v/>
      </c>
      <c r="Q288" s="6">
        <f>IFERROR(VLOOKUP(O288,DM_Giao_vien!$A$3:$H$102,8,FALSE),"")</f>
        <v/>
      </c>
      <c r="R288" s="6" t="n"/>
    </row>
    <row r="289">
      <c r="A289" s="5" t="n">
        <v>287</v>
      </c>
      <c r="B289" s="6">
        <f>IF(D289="","",Huong_dan!$B$6)</f>
        <v/>
      </c>
      <c r="C289" s="5" t="n"/>
      <c r="D289" s="5" t="n"/>
      <c r="E289" s="5" t="n"/>
      <c r="F289" s="5" t="n"/>
      <c r="G289" s="5">
        <f>IFERROR(VLOOKUP(F289,DM_Mon_GDPT2018!$A$3:$G$20,2,FALSE),"")</f>
        <v/>
      </c>
      <c r="H289" s="5">
        <f>IFERROR(VLOOKUP(F289,DM_Mon_GDPT2018!$A$3:$G$20,3,FALSE),"")</f>
        <v/>
      </c>
      <c r="I289" s="5">
        <f>IFERROR(VLOOKUP(F289,DM_Mon_GDPT2018!$A$3:$G$20,5,FALSE),"")</f>
        <v/>
      </c>
      <c r="J289" s="6">
        <f>IF($I289="","",ROUND($I289*Huong_dan!$B$7/Huong_dan!$B$9,0))</f>
        <v/>
      </c>
      <c r="K289" s="6">
        <f>IF($I289="","",$I289-$J289)</f>
        <v/>
      </c>
      <c r="L289" s="6" t="n"/>
      <c r="M289" s="6">
        <f>IFERROR(VLOOKUP(L289,DM_Giao_vien!$A$3:$H$102,2,FALSE),"")</f>
        <v/>
      </c>
      <c r="N289" s="6">
        <f>IFERROR(VLOOKUP(L289,DM_Giao_vien!$A$3:$H$102,8,FALSE),"")</f>
        <v/>
      </c>
      <c r="O289" s="6" t="n"/>
      <c r="P289" s="6">
        <f>IFERROR(VLOOKUP(O289,DM_Giao_vien!$A$3:$H$102,2,FALSE),"")</f>
        <v/>
      </c>
      <c r="Q289" s="6">
        <f>IFERROR(VLOOKUP(O289,DM_Giao_vien!$A$3:$H$102,8,FALSE),"")</f>
        <v/>
      </c>
      <c r="R289" s="6" t="n"/>
    </row>
    <row r="290">
      <c r="A290" s="5" t="n">
        <v>288</v>
      </c>
      <c r="B290" s="6">
        <f>IF(D290="","",Huong_dan!$B$6)</f>
        <v/>
      </c>
      <c r="C290" s="5" t="n"/>
      <c r="D290" s="5" t="n"/>
      <c r="E290" s="5" t="n"/>
      <c r="F290" s="5" t="n"/>
      <c r="G290" s="5">
        <f>IFERROR(VLOOKUP(F290,DM_Mon_GDPT2018!$A$3:$G$20,2,FALSE),"")</f>
        <v/>
      </c>
      <c r="H290" s="5">
        <f>IFERROR(VLOOKUP(F290,DM_Mon_GDPT2018!$A$3:$G$20,3,FALSE),"")</f>
        <v/>
      </c>
      <c r="I290" s="5">
        <f>IFERROR(VLOOKUP(F290,DM_Mon_GDPT2018!$A$3:$G$20,5,FALSE),"")</f>
        <v/>
      </c>
      <c r="J290" s="6">
        <f>IF($I290="","",ROUND($I290*Huong_dan!$B$7/Huong_dan!$B$9,0))</f>
        <v/>
      </c>
      <c r="K290" s="6">
        <f>IF($I290="","",$I290-$J290)</f>
        <v/>
      </c>
      <c r="L290" s="6" t="n"/>
      <c r="M290" s="6">
        <f>IFERROR(VLOOKUP(L290,DM_Giao_vien!$A$3:$H$102,2,FALSE),"")</f>
        <v/>
      </c>
      <c r="N290" s="6">
        <f>IFERROR(VLOOKUP(L290,DM_Giao_vien!$A$3:$H$102,8,FALSE),"")</f>
        <v/>
      </c>
      <c r="O290" s="6" t="n"/>
      <c r="P290" s="6">
        <f>IFERROR(VLOOKUP(O290,DM_Giao_vien!$A$3:$H$102,2,FALSE),"")</f>
        <v/>
      </c>
      <c r="Q290" s="6">
        <f>IFERROR(VLOOKUP(O290,DM_Giao_vien!$A$3:$H$102,8,FALSE),"")</f>
        <v/>
      </c>
      <c r="R290" s="6" t="n"/>
    </row>
    <row r="291">
      <c r="A291" s="5" t="n">
        <v>289</v>
      </c>
      <c r="B291" s="6">
        <f>IF(D291="","",Huong_dan!$B$6)</f>
        <v/>
      </c>
      <c r="C291" s="5" t="n"/>
      <c r="D291" s="5" t="n"/>
      <c r="E291" s="5" t="n"/>
      <c r="F291" s="5" t="n"/>
      <c r="G291" s="5">
        <f>IFERROR(VLOOKUP(F291,DM_Mon_GDPT2018!$A$3:$G$20,2,FALSE),"")</f>
        <v/>
      </c>
      <c r="H291" s="5">
        <f>IFERROR(VLOOKUP(F291,DM_Mon_GDPT2018!$A$3:$G$20,3,FALSE),"")</f>
        <v/>
      </c>
      <c r="I291" s="5">
        <f>IFERROR(VLOOKUP(F291,DM_Mon_GDPT2018!$A$3:$G$20,5,FALSE),"")</f>
        <v/>
      </c>
      <c r="J291" s="6">
        <f>IF($I291="","",ROUND($I291*Huong_dan!$B$7/Huong_dan!$B$9,0))</f>
        <v/>
      </c>
      <c r="K291" s="6">
        <f>IF($I291="","",$I291-$J291)</f>
        <v/>
      </c>
      <c r="L291" s="6" t="n"/>
      <c r="M291" s="6">
        <f>IFERROR(VLOOKUP(L291,DM_Giao_vien!$A$3:$H$102,2,FALSE),"")</f>
        <v/>
      </c>
      <c r="N291" s="6">
        <f>IFERROR(VLOOKUP(L291,DM_Giao_vien!$A$3:$H$102,8,FALSE),"")</f>
        <v/>
      </c>
      <c r="O291" s="6" t="n"/>
      <c r="P291" s="6">
        <f>IFERROR(VLOOKUP(O291,DM_Giao_vien!$A$3:$H$102,2,FALSE),"")</f>
        <v/>
      </c>
      <c r="Q291" s="6">
        <f>IFERROR(VLOOKUP(O291,DM_Giao_vien!$A$3:$H$102,8,FALSE),"")</f>
        <v/>
      </c>
      <c r="R291" s="6" t="n"/>
    </row>
    <row r="292">
      <c r="A292" s="5" t="n">
        <v>290</v>
      </c>
      <c r="B292" s="6">
        <f>IF(D292="","",Huong_dan!$B$6)</f>
        <v/>
      </c>
      <c r="C292" s="5" t="n"/>
      <c r="D292" s="5" t="n"/>
      <c r="E292" s="5" t="n"/>
      <c r="F292" s="5" t="n"/>
      <c r="G292" s="5">
        <f>IFERROR(VLOOKUP(F292,DM_Mon_GDPT2018!$A$3:$G$20,2,FALSE),"")</f>
        <v/>
      </c>
      <c r="H292" s="5">
        <f>IFERROR(VLOOKUP(F292,DM_Mon_GDPT2018!$A$3:$G$20,3,FALSE),"")</f>
        <v/>
      </c>
      <c r="I292" s="5">
        <f>IFERROR(VLOOKUP(F292,DM_Mon_GDPT2018!$A$3:$G$20,5,FALSE),"")</f>
        <v/>
      </c>
      <c r="J292" s="6">
        <f>IF($I292="","",ROUND($I292*Huong_dan!$B$7/Huong_dan!$B$9,0))</f>
        <v/>
      </c>
      <c r="K292" s="6">
        <f>IF($I292="","",$I292-$J292)</f>
        <v/>
      </c>
      <c r="L292" s="6" t="n"/>
      <c r="M292" s="6">
        <f>IFERROR(VLOOKUP(L292,DM_Giao_vien!$A$3:$H$102,2,FALSE),"")</f>
        <v/>
      </c>
      <c r="N292" s="6">
        <f>IFERROR(VLOOKUP(L292,DM_Giao_vien!$A$3:$H$102,8,FALSE),"")</f>
        <v/>
      </c>
      <c r="O292" s="6" t="n"/>
      <c r="P292" s="6">
        <f>IFERROR(VLOOKUP(O292,DM_Giao_vien!$A$3:$H$102,2,FALSE),"")</f>
        <v/>
      </c>
      <c r="Q292" s="6">
        <f>IFERROR(VLOOKUP(O292,DM_Giao_vien!$A$3:$H$102,8,FALSE),"")</f>
        <v/>
      </c>
      <c r="R292" s="6" t="n"/>
    </row>
    <row r="293">
      <c r="A293" s="5" t="n">
        <v>291</v>
      </c>
      <c r="B293" s="6">
        <f>IF(D293="","",Huong_dan!$B$6)</f>
        <v/>
      </c>
      <c r="C293" s="5" t="n"/>
      <c r="D293" s="5" t="n"/>
      <c r="E293" s="5" t="n"/>
      <c r="F293" s="5" t="n"/>
      <c r="G293" s="5">
        <f>IFERROR(VLOOKUP(F293,DM_Mon_GDPT2018!$A$3:$G$20,2,FALSE),"")</f>
        <v/>
      </c>
      <c r="H293" s="5">
        <f>IFERROR(VLOOKUP(F293,DM_Mon_GDPT2018!$A$3:$G$20,3,FALSE),"")</f>
        <v/>
      </c>
      <c r="I293" s="5">
        <f>IFERROR(VLOOKUP(F293,DM_Mon_GDPT2018!$A$3:$G$20,5,FALSE),"")</f>
        <v/>
      </c>
      <c r="J293" s="6">
        <f>IF($I293="","",ROUND($I293*Huong_dan!$B$7/Huong_dan!$B$9,0))</f>
        <v/>
      </c>
      <c r="K293" s="6">
        <f>IF($I293="","",$I293-$J293)</f>
        <v/>
      </c>
      <c r="L293" s="6" t="n"/>
      <c r="M293" s="6">
        <f>IFERROR(VLOOKUP(L293,DM_Giao_vien!$A$3:$H$102,2,FALSE),"")</f>
        <v/>
      </c>
      <c r="N293" s="6">
        <f>IFERROR(VLOOKUP(L293,DM_Giao_vien!$A$3:$H$102,8,FALSE),"")</f>
        <v/>
      </c>
      <c r="O293" s="6" t="n"/>
      <c r="P293" s="6">
        <f>IFERROR(VLOOKUP(O293,DM_Giao_vien!$A$3:$H$102,2,FALSE),"")</f>
        <v/>
      </c>
      <c r="Q293" s="6">
        <f>IFERROR(VLOOKUP(O293,DM_Giao_vien!$A$3:$H$102,8,FALSE),"")</f>
        <v/>
      </c>
      <c r="R293" s="6" t="n"/>
    </row>
    <row r="294">
      <c r="A294" s="5" t="n">
        <v>292</v>
      </c>
      <c r="B294" s="6">
        <f>IF(D294="","",Huong_dan!$B$6)</f>
        <v/>
      </c>
      <c r="C294" s="5" t="n"/>
      <c r="D294" s="5" t="n"/>
      <c r="E294" s="5" t="n"/>
      <c r="F294" s="5" t="n"/>
      <c r="G294" s="5">
        <f>IFERROR(VLOOKUP(F294,DM_Mon_GDPT2018!$A$3:$G$20,2,FALSE),"")</f>
        <v/>
      </c>
      <c r="H294" s="5">
        <f>IFERROR(VLOOKUP(F294,DM_Mon_GDPT2018!$A$3:$G$20,3,FALSE),"")</f>
        <v/>
      </c>
      <c r="I294" s="5">
        <f>IFERROR(VLOOKUP(F294,DM_Mon_GDPT2018!$A$3:$G$20,5,FALSE),"")</f>
        <v/>
      </c>
      <c r="J294" s="6">
        <f>IF($I294="","",ROUND($I294*Huong_dan!$B$7/Huong_dan!$B$9,0))</f>
        <v/>
      </c>
      <c r="K294" s="6">
        <f>IF($I294="","",$I294-$J294)</f>
        <v/>
      </c>
      <c r="L294" s="6" t="n"/>
      <c r="M294" s="6">
        <f>IFERROR(VLOOKUP(L294,DM_Giao_vien!$A$3:$H$102,2,FALSE),"")</f>
        <v/>
      </c>
      <c r="N294" s="6">
        <f>IFERROR(VLOOKUP(L294,DM_Giao_vien!$A$3:$H$102,8,FALSE),"")</f>
        <v/>
      </c>
      <c r="O294" s="6" t="n"/>
      <c r="P294" s="6">
        <f>IFERROR(VLOOKUP(O294,DM_Giao_vien!$A$3:$H$102,2,FALSE),"")</f>
        <v/>
      </c>
      <c r="Q294" s="6">
        <f>IFERROR(VLOOKUP(O294,DM_Giao_vien!$A$3:$H$102,8,FALSE),"")</f>
        <v/>
      </c>
      <c r="R294" s="6" t="n"/>
    </row>
    <row r="295">
      <c r="A295" s="5" t="n">
        <v>293</v>
      </c>
      <c r="B295" s="6">
        <f>IF(D295="","",Huong_dan!$B$6)</f>
        <v/>
      </c>
      <c r="C295" s="5" t="n"/>
      <c r="D295" s="5" t="n"/>
      <c r="E295" s="5" t="n"/>
      <c r="F295" s="5" t="n"/>
      <c r="G295" s="5">
        <f>IFERROR(VLOOKUP(F295,DM_Mon_GDPT2018!$A$3:$G$20,2,FALSE),"")</f>
        <v/>
      </c>
      <c r="H295" s="5">
        <f>IFERROR(VLOOKUP(F295,DM_Mon_GDPT2018!$A$3:$G$20,3,FALSE),"")</f>
        <v/>
      </c>
      <c r="I295" s="5">
        <f>IFERROR(VLOOKUP(F295,DM_Mon_GDPT2018!$A$3:$G$20,5,FALSE),"")</f>
        <v/>
      </c>
      <c r="J295" s="6">
        <f>IF($I295="","",ROUND($I295*Huong_dan!$B$7/Huong_dan!$B$9,0))</f>
        <v/>
      </c>
      <c r="K295" s="6">
        <f>IF($I295="","",$I295-$J295)</f>
        <v/>
      </c>
      <c r="L295" s="6" t="n"/>
      <c r="M295" s="6">
        <f>IFERROR(VLOOKUP(L295,DM_Giao_vien!$A$3:$H$102,2,FALSE),"")</f>
        <v/>
      </c>
      <c r="N295" s="6">
        <f>IFERROR(VLOOKUP(L295,DM_Giao_vien!$A$3:$H$102,8,FALSE),"")</f>
        <v/>
      </c>
      <c r="O295" s="6" t="n"/>
      <c r="P295" s="6">
        <f>IFERROR(VLOOKUP(O295,DM_Giao_vien!$A$3:$H$102,2,FALSE),"")</f>
        <v/>
      </c>
      <c r="Q295" s="6">
        <f>IFERROR(VLOOKUP(O295,DM_Giao_vien!$A$3:$H$102,8,FALSE),"")</f>
        <v/>
      </c>
      <c r="R295" s="6" t="n"/>
    </row>
    <row r="296">
      <c r="A296" s="5" t="n">
        <v>294</v>
      </c>
      <c r="B296" s="6">
        <f>IF(D296="","",Huong_dan!$B$6)</f>
        <v/>
      </c>
      <c r="C296" s="5" t="n"/>
      <c r="D296" s="5" t="n"/>
      <c r="E296" s="5" t="n"/>
      <c r="F296" s="5" t="n"/>
      <c r="G296" s="5">
        <f>IFERROR(VLOOKUP(F296,DM_Mon_GDPT2018!$A$3:$G$20,2,FALSE),"")</f>
        <v/>
      </c>
      <c r="H296" s="5">
        <f>IFERROR(VLOOKUP(F296,DM_Mon_GDPT2018!$A$3:$G$20,3,FALSE),"")</f>
        <v/>
      </c>
      <c r="I296" s="5">
        <f>IFERROR(VLOOKUP(F296,DM_Mon_GDPT2018!$A$3:$G$20,5,FALSE),"")</f>
        <v/>
      </c>
      <c r="J296" s="6">
        <f>IF($I296="","",ROUND($I296*Huong_dan!$B$7/Huong_dan!$B$9,0))</f>
        <v/>
      </c>
      <c r="K296" s="6">
        <f>IF($I296="","",$I296-$J296)</f>
        <v/>
      </c>
      <c r="L296" s="6" t="n"/>
      <c r="M296" s="6">
        <f>IFERROR(VLOOKUP(L296,DM_Giao_vien!$A$3:$H$102,2,FALSE),"")</f>
        <v/>
      </c>
      <c r="N296" s="6">
        <f>IFERROR(VLOOKUP(L296,DM_Giao_vien!$A$3:$H$102,8,FALSE),"")</f>
        <v/>
      </c>
      <c r="O296" s="6" t="n"/>
      <c r="P296" s="6">
        <f>IFERROR(VLOOKUP(O296,DM_Giao_vien!$A$3:$H$102,2,FALSE),"")</f>
        <v/>
      </c>
      <c r="Q296" s="6">
        <f>IFERROR(VLOOKUP(O296,DM_Giao_vien!$A$3:$H$102,8,FALSE),"")</f>
        <v/>
      </c>
      <c r="R296" s="6" t="n"/>
    </row>
    <row r="297">
      <c r="A297" s="5" t="n">
        <v>295</v>
      </c>
      <c r="B297" s="6">
        <f>IF(D297="","",Huong_dan!$B$6)</f>
        <v/>
      </c>
      <c r="C297" s="5" t="n"/>
      <c r="D297" s="5" t="n"/>
      <c r="E297" s="5" t="n"/>
      <c r="F297" s="5" t="n"/>
      <c r="G297" s="5">
        <f>IFERROR(VLOOKUP(F297,DM_Mon_GDPT2018!$A$3:$G$20,2,FALSE),"")</f>
        <v/>
      </c>
      <c r="H297" s="5">
        <f>IFERROR(VLOOKUP(F297,DM_Mon_GDPT2018!$A$3:$G$20,3,FALSE),"")</f>
        <v/>
      </c>
      <c r="I297" s="5">
        <f>IFERROR(VLOOKUP(F297,DM_Mon_GDPT2018!$A$3:$G$20,5,FALSE),"")</f>
        <v/>
      </c>
      <c r="J297" s="6">
        <f>IF($I297="","",ROUND($I297*Huong_dan!$B$7/Huong_dan!$B$9,0))</f>
        <v/>
      </c>
      <c r="K297" s="6">
        <f>IF($I297="","",$I297-$J297)</f>
        <v/>
      </c>
      <c r="L297" s="6" t="n"/>
      <c r="M297" s="6">
        <f>IFERROR(VLOOKUP(L297,DM_Giao_vien!$A$3:$H$102,2,FALSE),"")</f>
        <v/>
      </c>
      <c r="N297" s="6">
        <f>IFERROR(VLOOKUP(L297,DM_Giao_vien!$A$3:$H$102,8,FALSE),"")</f>
        <v/>
      </c>
      <c r="O297" s="6" t="n"/>
      <c r="P297" s="6">
        <f>IFERROR(VLOOKUP(O297,DM_Giao_vien!$A$3:$H$102,2,FALSE),"")</f>
        <v/>
      </c>
      <c r="Q297" s="6">
        <f>IFERROR(VLOOKUP(O297,DM_Giao_vien!$A$3:$H$102,8,FALSE),"")</f>
        <v/>
      </c>
      <c r="R297" s="6" t="n"/>
    </row>
    <row r="298">
      <c r="A298" s="5" t="n">
        <v>296</v>
      </c>
      <c r="B298" s="6">
        <f>IF(D298="","",Huong_dan!$B$6)</f>
        <v/>
      </c>
      <c r="C298" s="5" t="n"/>
      <c r="D298" s="5" t="n"/>
      <c r="E298" s="5" t="n"/>
      <c r="F298" s="5" t="n"/>
      <c r="G298" s="5">
        <f>IFERROR(VLOOKUP(F298,DM_Mon_GDPT2018!$A$3:$G$20,2,FALSE),"")</f>
        <v/>
      </c>
      <c r="H298" s="5">
        <f>IFERROR(VLOOKUP(F298,DM_Mon_GDPT2018!$A$3:$G$20,3,FALSE),"")</f>
        <v/>
      </c>
      <c r="I298" s="5">
        <f>IFERROR(VLOOKUP(F298,DM_Mon_GDPT2018!$A$3:$G$20,5,FALSE),"")</f>
        <v/>
      </c>
      <c r="J298" s="6">
        <f>IF($I298="","",ROUND($I298*Huong_dan!$B$7/Huong_dan!$B$9,0))</f>
        <v/>
      </c>
      <c r="K298" s="6">
        <f>IF($I298="","",$I298-$J298)</f>
        <v/>
      </c>
      <c r="L298" s="6" t="n"/>
      <c r="M298" s="6">
        <f>IFERROR(VLOOKUP(L298,DM_Giao_vien!$A$3:$H$102,2,FALSE),"")</f>
        <v/>
      </c>
      <c r="N298" s="6">
        <f>IFERROR(VLOOKUP(L298,DM_Giao_vien!$A$3:$H$102,8,FALSE),"")</f>
        <v/>
      </c>
      <c r="O298" s="6" t="n"/>
      <c r="P298" s="6">
        <f>IFERROR(VLOOKUP(O298,DM_Giao_vien!$A$3:$H$102,2,FALSE),"")</f>
        <v/>
      </c>
      <c r="Q298" s="6">
        <f>IFERROR(VLOOKUP(O298,DM_Giao_vien!$A$3:$H$102,8,FALSE),"")</f>
        <v/>
      </c>
      <c r="R298" s="6" t="n"/>
    </row>
    <row r="299">
      <c r="A299" s="5" t="n">
        <v>297</v>
      </c>
      <c r="B299" s="6">
        <f>IF(D299="","",Huong_dan!$B$6)</f>
        <v/>
      </c>
      <c r="C299" s="5" t="n"/>
      <c r="D299" s="5" t="n"/>
      <c r="E299" s="5" t="n"/>
      <c r="F299" s="5" t="n"/>
      <c r="G299" s="5">
        <f>IFERROR(VLOOKUP(F299,DM_Mon_GDPT2018!$A$3:$G$20,2,FALSE),"")</f>
        <v/>
      </c>
      <c r="H299" s="5">
        <f>IFERROR(VLOOKUP(F299,DM_Mon_GDPT2018!$A$3:$G$20,3,FALSE),"")</f>
        <v/>
      </c>
      <c r="I299" s="5">
        <f>IFERROR(VLOOKUP(F299,DM_Mon_GDPT2018!$A$3:$G$20,5,FALSE),"")</f>
        <v/>
      </c>
      <c r="J299" s="6">
        <f>IF($I299="","",ROUND($I299*Huong_dan!$B$7/Huong_dan!$B$9,0))</f>
        <v/>
      </c>
      <c r="K299" s="6">
        <f>IF($I299="","",$I299-$J299)</f>
        <v/>
      </c>
      <c r="L299" s="6" t="n"/>
      <c r="M299" s="6">
        <f>IFERROR(VLOOKUP(L299,DM_Giao_vien!$A$3:$H$102,2,FALSE),"")</f>
        <v/>
      </c>
      <c r="N299" s="6">
        <f>IFERROR(VLOOKUP(L299,DM_Giao_vien!$A$3:$H$102,8,FALSE),"")</f>
        <v/>
      </c>
      <c r="O299" s="6" t="n"/>
      <c r="P299" s="6">
        <f>IFERROR(VLOOKUP(O299,DM_Giao_vien!$A$3:$H$102,2,FALSE),"")</f>
        <v/>
      </c>
      <c r="Q299" s="6">
        <f>IFERROR(VLOOKUP(O299,DM_Giao_vien!$A$3:$H$102,8,FALSE),"")</f>
        <v/>
      </c>
      <c r="R299" s="6" t="n"/>
    </row>
    <row r="300">
      <c r="A300" s="5" t="n">
        <v>298</v>
      </c>
      <c r="B300" s="6">
        <f>IF(D300="","",Huong_dan!$B$6)</f>
        <v/>
      </c>
      <c r="C300" s="5" t="n"/>
      <c r="D300" s="5" t="n"/>
      <c r="E300" s="5" t="n"/>
      <c r="F300" s="5" t="n"/>
      <c r="G300" s="5">
        <f>IFERROR(VLOOKUP(F300,DM_Mon_GDPT2018!$A$3:$G$20,2,FALSE),"")</f>
        <v/>
      </c>
      <c r="H300" s="5">
        <f>IFERROR(VLOOKUP(F300,DM_Mon_GDPT2018!$A$3:$G$20,3,FALSE),"")</f>
        <v/>
      </c>
      <c r="I300" s="5">
        <f>IFERROR(VLOOKUP(F300,DM_Mon_GDPT2018!$A$3:$G$20,5,FALSE),"")</f>
        <v/>
      </c>
      <c r="J300" s="6">
        <f>IF($I300="","",ROUND($I300*Huong_dan!$B$7/Huong_dan!$B$9,0))</f>
        <v/>
      </c>
      <c r="K300" s="6">
        <f>IF($I300="","",$I300-$J300)</f>
        <v/>
      </c>
      <c r="L300" s="6" t="n"/>
      <c r="M300" s="6">
        <f>IFERROR(VLOOKUP(L300,DM_Giao_vien!$A$3:$H$102,2,FALSE),"")</f>
        <v/>
      </c>
      <c r="N300" s="6">
        <f>IFERROR(VLOOKUP(L300,DM_Giao_vien!$A$3:$H$102,8,FALSE),"")</f>
        <v/>
      </c>
      <c r="O300" s="6" t="n"/>
      <c r="P300" s="6">
        <f>IFERROR(VLOOKUP(O300,DM_Giao_vien!$A$3:$H$102,2,FALSE),"")</f>
        <v/>
      </c>
      <c r="Q300" s="6">
        <f>IFERROR(VLOOKUP(O300,DM_Giao_vien!$A$3:$H$102,8,FALSE),"")</f>
        <v/>
      </c>
      <c r="R300" s="6" t="n"/>
    </row>
    <row r="301">
      <c r="A301" s="5" t="n">
        <v>299</v>
      </c>
      <c r="B301" s="6">
        <f>IF(D301="","",Huong_dan!$B$6)</f>
        <v/>
      </c>
      <c r="C301" s="5" t="n"/>
      <c r="D301" s="5" t="n"/>
      <c r="E301" s="5" t="n"/>
      <c r="F301" s="5" t="n"/>
      <c r="G301" s="5">
        <f>IFERROR(VLOOKUP(F301,DM_Mon_GDPT2018!$A$3:$G$20,2,FALSE),"")</f>
        <v/>
      </c>
      <c r="H301" s="5">
        <f>IFERROR(VLOOKUP(F301,DM_Mon_GDPT2018!$A$3:$G$20,3,FALSE),"")</f>
        <v/>
      </c>
      <c r="I301" s="5">
        <f>IFERROR(VLOOKUP(F301,DM_Mon_GDPT2018!$A$3:$G$20,5,FALSE),"")</f>
        <v/>
      </c>
      <c r="J301" s="6">
        <f>IF($I301="","",ROUND($I301*Huong_dan!$B$7/Huong_dan!$B$9,0))</f>
        <v/>
      </c>
      <c r="K301" s="6">
        <f>IF($I301="","",$I301-$J301)</f>
        <v/>
      </c>
      <c r="L301" s="6" t="n"/>
      <c r="M301" s="6">
        <f>IFERROR(VLOOKUP(L301,DM_Giao_vien!$A$3:$H$102,2,FALSE),"")</f>
        <v/>
      </c>
      <c r="N301" s="6">
        <f>IFERROR(VLOOKUP(L301,DM_Giao_vien!$A$3:$H$102,8,FALSE),"")</f>
        <v/>
      </c>
      <c r="O301" s="6" t="n"/>
      <c r="P301" s="6">
        <f>IFERROR(VLOOKUP(O301,DM_Giao_vien!$A$3:$H$102,2,FALSE),"")</f>
        <v/>
      </c>
      <c r="Q301" s="6">
        <f>IFERROR(VLOOKUP(O301,DM_Giao_vien!$A$3:$H$102,8,FALSE),"")</f>
        <v/>
      </c>
      <c r="R301" s="6" t="n"/>
    </row>
    <row r="302">
      <c r="A302" s="5" t="n">
        <v>300</v>
      </c>
      <c r="B302" s="6">
        <f>IF(D302="","",Huong_dan!$B$6)</f>
        <v/>
      </c>
      <c r="C302" s="5" t="n"/>
      <c r="D302" s="5" t="n"/>
      <c r="E302" s="5" t="n"/>
      <c r="F302" s="5" t="n"/>
      <c r="G302" s="5">
        <f>IFERROR(VLOOKUP(F302,DM_Mon_GDPT2018!$A$3:$G$20,2,FALSE),"")</f>
        <v/>
      </c>
      <c r="H302" s="5">
        <f>IFERROR(VLOOKUP(F302,DM_Mon_GDPT2018!$A$3:$G$20,3,FALSE),"")</f>
        <v/>
      </c>
      <c r="I302" s="5">
        <f>IFERROR(VLOOKUP(F302,DM_Mon_GDPT2018!$A$3:$G$20,5,FALSE),"")</f>
        <v/>
      </c>
      <c r="J302" s="6">
        <f>IF($I302="","",ROUND($I302*Huong_dan!$B$7/Huong_dan!$B$9,0))</f>
        <v/>
      </c>
      <c r="K302" s="6">
        <f>IF($I302="","",$I302-$J302)</f>
        <v/>
      </c>
      <c r="L302" s="6" t="n"/>
      <c r="M302" s="6">
        <f>IFERROR(VLOOKUP(L302,DM_Giao_vien!$A$3:$H$102,2,FALSE),"")</f>
        <v/>
      </c>
      <c r="N302" s="6">
        <f>IFERROR(VLOOKUP(L302,DM_Giao_vien!$A$3:$H$102,8,FALSE),"")</f>
        <v/>
      </c>
      <c r="O302" s="6" t="n"/>
      <c r="P302" s="6">
        <f>IFERROR(VLOOKUP(O302,DM_Giao_vien!$A$3:$H$102,2,FALSE),"")</f>
        <v/>
      </c>
      <c r="Q302" s="6">
        <f>IFERROR(VLOOKUP(O302,DM_Giao_vien!$A$3:$H$102,8,FALSE),"")</f>
        <v/>
      </c>
      <c r="R302" s="6" t="n"/>
    </row>
  </sheetData>
  <autoFilter ref="A2:R302"/>
  <mergeCells count="1">
    <mergeCell ref="A1:R1"/>
  </mergeCells>
  <dataValidations count="6">
    <dataValidation sqref="B3:B102 C3:C302" showDropDown="0" showInputMessage="0" showErrorMessage="0" allowBlank="1" type="list">
      <formula1>"10,11,12"</formula1>
    </dataValidation>
    <dataValidation sqref="D3:D302" showDropDown="0" showInputMessage="0" showErrorMessage="0" allowBlank="1" type="list">
      <formula1>=DM_Lop!$A$3:$A$102</formula1>
    </dataValidation>
    <dataValidation sqref="E3:E102 E3:E302" showDropDown="0" showInputMessage="0" showErrorMessage="0" allowBlank="1" type="list">
      <formula1>=DM_To_hop!$A$3:$A$52</formula1>
    </dataValidation>
    <dataValidation sqref="F3:F302" showDropDown="0" showInputMessage="0" showErrorMessage="0" allowBlank="1" type="list">
      <formula1>=DM_Mon_GDPT2018!$A$3:$A$20</formula1>
    </dataValidation>
    <dataValidation sqref="F3:F102 L3:L302 O3:O302" showDropDown="0" showInputMessage="0" showErrorMessage="0" allowBlank="1" type="list">
      <formula1>=DM_Giao_vien!$A$3:$A$102</formula1>
    </dataValidation>
    <dataValidation sqref="F3:F102 L3:L302 O3:O302" showDropDown="0" showInputMessage="0" showErrorMessage="0" allowBlank="1" type="list">
      <formula1>=DM_Giao_vien!$A$3:$A$102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24" customWidth="1" min="14" max="14"/>
  </cols>
  <sheetData>
    <row r="1">
      <c r="A1" s="3" t="inlineStr">
        <is>
          <t>Tong hop tai giang day theo giao vien</t>
        </is>
      </c>
    </row>
    <row r="2">
      <c r="A2" s="4" t="inlineStr">
        <is>
          <t>Ma_GV</t>
        </is>
      </c>
      <c r="B2" s="4" t="inlineStr">
        <is>
          <t>Ho_ten</t>
        </is>
      </c>
      <c r="C2" s="4" t="inlineStr">
        <is>
          <t>To_CM</t>
        </is>
      </c>
      <c r="D2" s="4" t="inlineStr">
        <is>
          <t>Dinh_muc_tuan</t>
        </is>
      </c>
      <c r="E2" s="4" t="inlineStr">
        <is>
          <t>Tong_tiet_HK1</t>
        </is>
      </c>
      <c r="F2" s="4" t="inlineStr">
        <is>
          <t>Tong_tiet_HK2</t>
        </is>
      </c>
      <c r="G2" s="4" t="inlineStr">
        <is>
          <t>BQ_tuan_HK1</t>
        </is>
      </c>
      <c r="H2" s="4" t="inlineStr">
        <is>
          <t>BQ_tuan_HK2</t>
        </is>
      </c>
      <c r="I2" s="4" t="inlineStr">
        <is>
          <t>Chenh_HK1</t>
        </is>
      </c>
      <c r="J2" s="4" t="inlineStr">
        <is>
          <t>Chenh_HK2</t>
        </is>
      </c>
      <c r="K2" s="4" t="inlineStr">
        <is>
          <t>Tong_tiet_nam</t>
        </is>
      </c>
      <c r="L2" s="4" t="inlineStr">
        <is>
          <t>So_dong_PC_HK1</t>
        </is>
      </c>
      <c r="M2" s="4" t="inlineStr">
        <is>
          <t>So_dong_PC_HK2</t>
        </is>
      </c>
      <c r="N2" s="4" t="inlineStr">
        <is>
          <t>Ghi_chu</t>
        </is>
      </c>
    </row>
    <row r="3">
      <c r="A3" s="5">
        <f>DM_Giao_vien!A3</f>
        <v/>
      </c>
      <c r="B3" s="6">
        <f>DM_Giao_vien!B3</f>
        <v/>
      </c>
      <c r="C3" s="5">
        <f>DM_Giao_vien!C3</f>
        <v/>
      </c>
      <c r="D3" s="5">
        <f>DM_Giao_vien!H3</f>
        <v/>
      </c>
      <c r="E3" s="5">
        <f>IF($A3="","",SUMIFS(Phan_cong!$J$3:$J$302,Phan_cong!$L$3:$L$302,$A3))</f>
        <v/>
      </c>
      <c r="F3" s="5">
        <f>IF($A3="","",SUMIFS(Phan_cong!$K$3:$K$302,Phan_cong!$O$3:$O$302,$A3))</f>
        <v/>
      </c>
      <c r="G3" s="5">
        <f>IF($A3="","",ROUND($E3/Huong_dan!$B$7,2))</f>
        <v/>
      </c>
      <c r="H3" s="5">
        <f>IF($A3="","",ROUND($F3/Huong_dan!$B$8,2))</f>
        <v/>
      </c>
      <c r="I3" s="5">
        <f>IF($A3="","",ROUND($G3-$D3,2))</f>
        <v/>
      </c>
      <c r="J3" s="6">
        <f>IF($A3="","",ROUND($H3-$D3,2))</f>
        <v/>
      </c>
      <c r="K3" s="6">
        <f>IF($A3="","",$E3+$F3)</f>
        <v/>
      </c>
      <c r="L3" s="6">
        <f>IF($A3="","",COUNTIF(Phan_cong!$L$3:$L$302,$A3))</f>
        <v/>
      </c>
      <c r="M3" s="6">
        <f>IF($A3="","",COUNTIF(Phan_cong!$O$3:$O$302,$A3))</f>
        <v/>
      </c>
      <c r="N3" s="6" t="n"/>
    </row>
    <row r="4">
      <c r="A4" s="5">
        <f>DM_Giao_vien!A4</f>
        <v/>
      </c>
      <c r="B4" s="6">
        <f>DM_Giao_vien!B4</f>
        <v/>
      </c>
      <c r="C4" s="5">
        <f>DM_Giao_vien!C4</f>
        <v/>
      </c>
      <c r="D4" s="5">
        <f>DM_Giao_vien!H4</f>
        <v/>
      </c>
      <c r="E4" s="5">
        <f>IF($A4="","",SUMIFS(Phan_cong!$J$3:$J$302,Phan_cong!$L$3:$L$302,$A4))</f>
        <v/>
      </c>
      <c r="F4" s="5">
        <f>IF($A4="","",SUMIFS(Phan_cong!$K$3:$K$302,Phan_cong!$O$3:$O$302,$A4))</f>
        <v/>
      </c>
      <c r="G4" s="5">
        <f>IF($A4="","",ROUND($E4/Huong_dan!$B$7,2))</f>
        <v/>
      </c>
      <c r="H4" s="5">
        <f>IF($A4="","",ROUND($F4/Huong_dan!$B$8,2))</f>
        <v/>
      </c>
      <c r="I4" s="5">
        <f>IF($A4="","",ROUND($G4-$D4,2))</f>
        <v/>
      </c>
      <c r="J4" s="6">
        <f>IF($A4="","",ROUND($H4-$D4,2))</f>
        <v/>
      </c>
      <c r="K4" s="6">
        <f>IF($A4="","",$E4+$F4)</f>
        <v/>
      </c>
      <c r="L4" s="6">
        <f>IF($A4="","",COUNTIF(Phan_cong!$L$3:$L$302,$A4))</f>
        <v/>
      </c>
      <c r="M4" s="6">
        <f>IF($A4="","",COUNTIF(Phan_cong!$O$3:$O$302,$A4))</f>
        <v/>
      </c>
      <c r="N4" s="6" t="n"/>
    </row>
    <row r="5">
      <c r="A5" s="5">
        <f>DM_Giao_vien!A5</f>
        <v/>
      </c>
      <c r="B5" s="6">
        <f>DM_Giao_vien!B5</f>
        <v/>
      </c>
      <c r="C5" s="5">
        <f>DM_Giao_vien!C5</f>
        <v/>
      </c>
      <c r="D5" s="5">
        <f>DM_Giao_vien!H5</f>
        <v/>
      </c>
      <c r="E5" s="5">
        <f>IF($A5="","",SUMIFS(Phan_cong!$J$3:$J$302,Phan_cong!$L$3:$L$302,$A5))</f>
        <v/>
      </c>
      <c r="F5" s="5">
        <f>IF($A5="","",SUMIFS(Phan_cong!$K$3:$K$302,Phan_cong!$O$3:$O$302,$A5))</f>
        <v/>
      </c>
      <c r="G5" s="5">
        <f>IF($A5="","",ROUND($E5/Huong_dan!$B$7,2))</f>
        <v/>
      </c>
      <c r="H5" s="5">
        <f>IF($A5="","",ROUND($F5/Huong_dan!$B$8,2))</f>
        <v/>
      </c>
      <c r="I5" s="5">
        <f>IF($A5="","",ROUND($G5-$D5,2))</f>
        <v/>
      </c>
      <c r="J5" s="6">
        <f>IF($A5="","",ROUND($H5-$D5,2))</f>
        <v/>
      </c>
      <c r="K5" s="6">
        <f>IF($A5="","",$E5+$F5)</f>
        <v/>
      </c>
      <c r="L5" s="6">
        <f>IF($A5="","",COUNTIF(Phan_cong!$L$3:$L$302,$A5))</f>
        <v/>
      </c>
      <c r="M5" s="6">
        <f>IF($A5="","",COUNTIF(Phan_cong!$O$3:$O$302,$A5))</f>
        <v/>
      </c>
      <c r="N5" s="6" t="n"/>
    </row>
    <row r="6">
      <c r="A6" s="5">
        <f>DM_Giao_vien!A6</f>
        <v/>
      </c>
      <c r="B6" s="6">
        <f>DM_Giao_vien!B6</f>
        <v/>
      </c>
      <c r="C6" s="5">
        <f>DM_Giao_vien!C6</f>
        <v/>
      </c>
      <c r="D6" s="5">
        <f>DM_Giao_vien!H6</f>
        <v/>
      </c>
      <c r="E6" s="5">
        <f>IF($A6="","",SUMIFS(Phan_cong!$J$3:$J$302,Phan_cong!$L$3:$L$302,$A6))</f>
        <v/>
      </c>
      <c r="F6" s="5">
        <f>IF($A6="","",SUMIFS(Phan_cong!$K$3:$K$302,Phan_cong!$O$3:$O$302,$A6))</f>
        <v/>
      </c>
      <c r="G6" s="5">
        <f>IF($A6="","",ROUND($E6/Huong_dan!$B$7,2))</f>
        <v/>
      </c>
      <c r="H6" s="5">
        <f>IF($A6="","",ROUND($F6/Huong_dan!$B$8,2))</f>
        <v/>
      </c>
      <c r="I6" s="5">
        <f>IF($A6="","",ROUND($G6-$D6,2))</f>
        <v/>
      </c>
      <c r="J6" s="6">
        <f>IF($A6="","",ROUND($H6-$D6,2))</f>
        <v/>
      </c>
      <c r="K6" s="6">
        <f>IF($A6="","",$E6+$F6)</f>
        <v/>
      </c>
      <c r="L6" s="6">
        <f>IF($A6="","",COUNTIF(Phan_cong!$L$3:$L$302,$A6))</f>
        <v/>
      </c>
      <c r="M6" s="6">
        <f>IF($A6="","",COUNTIF(Phan_cong!$O$3:$O$302,$A6))</f>
        <v/>
      </c>
      <c r="N6" s="6" t="n"/>
    </row>
    <row r="7">
      <c r="A7" s="5">
        <f>DM_Giao_vien!A7</f>
        <v/>
      </c>
      <c r="B7" s="6">
        <f>DM_Giao_vien!B7</f>
        <v/>
      </c>
      <c r="C7" s="5">
        <f>DM_Giao_vien!C7</f>
        <v/>
      </c>
      <c r="D7" s="5">
        <f>DM_Giao_vien!H7</f>
        <v/>
      </c>
      <c r="E7" s="5">
        <f>IF($A7="","",SUMIFS(Phan_cong!$J$3:$J$302,Phan_cong!$L$3:$L$302,$A7))</f>
        <v/>
      </c>
      <c r="F7" s="5">
        <f>IF($A7="","",SUMIFS(Phan_cong!$K$3:$K$302,Phan_cong!$O$3:$O$302,$A7))</f>
        <v/>
      </c>
      <c r="G7" s="5">
        <f>IF($A7="","",ROUND($E7/Huong_dan!$B$7,2))</f>
        <v/>
      </c>
      <c r="H7" s="5">
        <f>IF($A7="","",ROUND($F7/Huong_dan!$B$8,2))</f>
        <v/>
      </c>
      <c r="I7" s="5">
        <f>IF($A7="","",ROUND($G7-$D7,2))</f>
        <v/>
      </c>
      <c r="J7" s="6">
        <f>IF($A7="","",ROUND($H7-$D7,2))</f>
        <v/>
      </c>
      <c r="K7" s="6">
        <f>IF($A7="","",$E7+$F7)</f>
        <v/>
      </c>
      <c r="L7" s="6">
        <f>IF($A7="","",COUNTIF(Phan_cong!$L$3:$L$302,$A7))</f>
        <v/>
      </c>
      <c r="M7" s="6">
        <f>IF($A7="","",COUNTIF(Phan_cong!$O$3:$O$302,$A7))</f>
        <v/>
      </c>
      <c r="N7" s="6" t="n"/>
    </row>
    <row r="8">
      <c r="A8" s="5">
        <f>DM_Giao_vien!A8</f>
        <v/>
      </c>
      <c r="B8" s="6">
        <f>DM_Giao_vien!B8</f>
        <v/>
      </c>
      <c r="C8" s="5">
        <f>DM_Giao_vien!C8</f>
        <v/>
      </c>
      <c r="D8" s="5">
        <f>DM_Giao_vien!H8</f>
        <v/>
      </c>
      <c r="E8" s="5">
        <f>IF($A8="","",SUMIFS(Phan_cong!$J$3:$J$302,Phan_cong!$L$3:$L$302,$A8))</f>
        <v/>
      </c>
      <c r="F8" s="5">
        <f>IF($A8="","",SUMIFS(Phan_cong!$K$3:$K$302,Phan_cong!$O$3:$O$302,$A8))</f>
        <v/>
      </c>
      <c r="G8" s="5">
        <f>IF($A8="","",ROUND($E8/Huong_dan!$B$7,2))</f>
        <v/>
      </c>
      <c r="H8" s="5">
        <f>IF($A8="","",ROUND($F8/Huong_dan!$B$8,2))</f>
        <v/>
      </c>
      <c r="I8" s="5">
        <f>IF($A8="","",ROUND($G8-$D8,2))</f>
        <v/>
      </c>
      <c r="J8" s="6">
        <f>IF($A8="","",ROUND($H8-$D8,2))</f>
        <v/>
      </c>
      <c r="K8" s="6">
        <f>IF($A8="","",$E8+$F8)</f>
        <v/>
      </c>
      <c r="L8" s="6">
        <f>IF($A8="","",COUNTIF(Phan_cong!$L$3:$L$302,$A8))</f>
        <v/>
      </c>
      <c r="M8" s="6">
        <f>IF($A8="","",COUNTIF(Phan_cong!$O$3:$O$302,$A8))</f>
        <v/>
      </c>
      <c r="N8" s="6" t="n"/>
    </row>
    <row r="9">
      <c r="A9" s="5">
        <f>DM_Giao_vien!A9</f>
        <v/>
      </c>
      <c r="B9" s="6">
        <f>DM_Giao_vien!B9</f>
        <v/>
      </c>
      <c r="C9" s="5">
        <f>DM_Giao_vien!C9</f>
        <v/>
      </c>
      <c r="D9" s="5">
        <f>DM_Giao_vien!H9</f>
        <v/>
      </c>
      <c r="E9" s="5">
        <f>IF($A9="","",SUMIFS(Phan_cong!$J$3:$J$302,Phan_cong!$L$3:$L$302,$A9))</f>
        <v/>
      </c>
      <c r="F9" s="5">
        <f>IF($A9="","",SUMIFS(Phan_cong!$K$3:$K$302,Phan_cong!$O$3:$O$302,$A9))</f>
        <v/>
      </c>
      <c r="G9" s="5">
        <f>IF($A9="","",ROUND($E9/Huong_dan!$B$7,2))</f>
        <v/>
      </c>
      <c r="H9" s="5">
        <f>IF($A9="","",ROUND($F9/Huong_dan!$B$8,2))</f>
        <v/>
      </c>
      <c r="I9" s="5">
        <f>IF($A9="","",ROUND($G9-$D9,2))</f>
        <v/>
      </c>
      <c r="J9" s="6">
        <f>IF($A9="","",ROUND($H9-$D9,2))</f>
        <v/>
      </c>
      <c r="K9" s="6">
        <f>IF($A9="","",$E9+$F9)</f>
        <v/>
      </c>
      <c r="L9" s="6">
        <f>IF($A9="","",COUNTIF(Phan_cong!$L$3:$L$302,$A9))</f>
        <v/>
      </c>
      <c r="M9" s="6">
        <f>IF($A9="","",COUNTIF(Phan_cong!$O$3:$O$302,$A9))</f>
        <v/>
      </c>
      <c r="N9" s="6" t="n"/>
    </row>
    <row r="10">
      <c r="A10" s="5">
        <f>DM_Giao_vien!A10</f>
        <v/>
      </c>
      <c r="B10" s="6">
        <f>DM_Giao_vien!B10</f>
        <v/>
      </c>
      <c r="C10" s="5">
        <f>DM_Giao_vien!C10</f>
        <v/>
      </c>
      <c r="D10" s="5">
        <f>DM_Giao_vien!H10</f>
        <v/>
      </c>
      <c r="E10" s="5">
        <f>IF($A10="","",SUMIFS(Phan_cong!$J$3:$J$302,Phan_cong!$L$3:$L$302,$A10))</f>
        <v/>
      </c>
      <c r="F10" s="5">
        <f>IF($A10="","",SUMIFS(Phan_cong!$K$3:$K$302,Phan_cong!$O$3:$O$302,$A10))</f>
        <v/>
      </c>
      <c r="G10" s="5">
        <f>IF($A10="","",ROUND($E10/Huong_dan!$B$7,2))</f>
        <v/>
      </c>
      <c r="H10" s="5">
        <f>IF($A10="","",ROUND($F10/Huong_dan!$B$8,2))</f>
        <v/>
      </c>
      <c r="I10" s="5">
        <f>IF($A10="","",ROUND($G10-$D10,2))</f>
        <v/>
      </c>
      <c r="J10" s="6">
        <f>IF($A10="","",ROUND($H10-$D10,2))</f>
        <v/>
      </c>
      <c r="K10" s="6">
        <f>IF($A10="","",$E10+$F10)</f>
        <v/>
      </c>
      <c r="L10" s="6">
        <f>IF($A10="","",COUNTIF(Phan_cong!$L$3:$L$302,$A10))</f>
        <v/>
      </c>
      <c r="M10" s="6">
        <f>IF($A10="","",COUNTIF(Phan_cong!$O$3:$O$302,$A10))</f>
        <v/>
      </c>
      <c r="N10" s="6" t="n"/>
    </row>
    <row r="11">
      <c r="A11" s="5">
        <f>DM_Giao_vien!A11</f>
        <v/>
      </c>
      <c r="B11" s="6">
        <f>DM_Giao_vien!B11</f>
        <v/>
      </c>
      <c r="C11" s="5">
        <f>DM_Giao_vien!C11</f>
        <v/>
      </c>
      <c r="D11" s="5">
        <f>DM_Giao_vien!H11</f>
        <v/>
      </c>
      <c r="E11" s="5">
        <f>IF($A11="","",SUMIFS(Phan_cong!$J$3:$J$302,Phan_cong!$L$3:$L$302,$A11))</f>
        <v/>
      </c>
      <c r="F11" s="5">
        <f>IF($A11="","",SUMIFS(Phan_cong!$K$3:$K$302,Phan_cong!$O$3:$O$302,$A11))</f>
        <v/>
      </c>
      <c r="G11" s="5">
        <f>IF($A11="","",ROUND($E11/Huong_dan!$B$7,2))</f>
        <v/>
      </c>
      <c r="H11" s="5">
        <f>IF($A11="","",ROUND($F11/Huong_dan!$B$8,2))</f>
        <v/>
      </c>
      <c r="I11" s="5">
        <f>IF($A11="","",ROUND($G11-$D11,2))</f>
        <v/>
      </c>
      <c r="J11" s="6">
        <f>IF($A11="","",ROUND($H11-$D11,2))</f>
        <v/>
      </c>
      <c r="K11" s="6">
        <f>IF($A11="","",$E11+$F11)</f>
        <v/>
      </c>
      <c r="L11" s="6">
        <f>IF($A11="","",COUNTIF(Phan_cong!$L$3:$L$302,$A11))</f>
        <v/>
      </c>
      <c r="M11" s="6">
        <f>IF($A11="","",COUNTIF(Phan_cong!$O$3:$O$302,$A11))</f>
        <v/>
      </c>
      <c r="N11" s="6" t="n"/>
    </row>
    <row r="12">
      <c r="A12" s="5">
        <f>DM_Giao_vien!A12</f>
        <v/>
      </c>
      <c r="B12" s="6">
        <f>DM_Giao_vien!B12</f>
        <v/>
      </c>
      <c r="C12" s="5">
        <f>DM_Giao_vien!C12</f>
        <v/>
      </c>
      <c r="D12" s="5">
        <f>DM_Giao_vien!H12</f>
        <v/>
      </c>
      <c r="E12" s="5">
        <f>IF($A12="","",SUMIFS(Phan_cong!$J$3:$J$302,Phan_cong!$L$3:$L$302,$A12))</f>
        <v/>
      </c>
      <c r="F12" s="5">
        <f>IF($A12="","",SUMIFS(Phan_cong!$K$3:$K$302,Phan_cong!$O$3:$O$302,$A12))</f>
        <v/>
      </c>
      <c r="G12" s="5">
        <f>IF($A12="","",ROUND($E12/Huong_dan!$B$7,2))</f>
        <v/>
      </c>
      <c r="H12" s="5">
        <f>IF($A12="","",ROUND($F12/Huong_dan!$B$8,2))</f>
        <v/>
      </c>
      <c r="I12" s="5">
        <f>IF($A12="","",ROUND($G12-$D12,2))</f>
        <v/>
      </c>
      <c r="J12" s="6">
        <f>IF($A12="","",ROUND($H12-$D12,2))</f>
        <v/>
      </c>
      <c r="K12" s="6">
        <f>IF($A12="","",$E12+$F12)</f>
        <v/>
      </c>
      <c r="L12" s="6">
        <f>IF($A12="","",COUNTIF(Phan_cong!$L$3:$L$302,$A12))</f>
        <v/>
      </c>
      <c r="M12" s="6">
        <f>IF($A12="","",COUNTIF(Phan_cong!$O$3:$O$302,$A12))</f>
        <v/>
      </c>
      <c r="N12" s="6" t="n"/>
    </row>
    <row r="13">
      <c r="A13" s="5">
        <f>DM_Giao_vien!A13</f>
        <v/>
      </c>
      <c r="B13" s="6">
        <f>DM_Giao_vien!B13</f>
        <v/>
      </c>
      <c r="C13" s="5">
        <f>DM_Giao_vien!C13</f>
        <v/>
      </c>
      <c r="D13" s="5">
        <f>DM_Giao_vien!H13</f>
        <v/>
      </c>
      <c r="E13" s="5">
        <f>IF($A13="","",SUMIFS(Phan_cong!$J$3:$J$302,Phan_cong!$L$3:$L$302,$A13))</f>
        <v/>
      </c>
      <c r="F13" s="5">
        <f>IF($A13="","",SUMIFS(Phan_cong!$K$3:$K$302,Phan_cong!$O$3:$O$302,$A13))</f>
        <v/>
      </c>
      <c r="G13" s="5">
        <f>IF($A13="","",ROUND($E13/Huong_dan!$B$7,2))</f>
        <v/>
      </c>
      <c r="H13" s="5">
        <f>IF($A13="","",ROUND($F13/Huong_dan!$B$8,2))</f>
        <v/>
      </c>
      <c r="I13" s="5">
        <f>IF($A13="","",ROUND($G13-$D13,2))</f>
        <v/>
      </c>
      <c r="J13" s="6">
        <f>IF($A13="","",ROUND($H13-$D13,2))</f>
        <v/>
      </c>
      <c r="K13" s="6">
        <f>IF($A13="","",$E13+$F13)</f>
        <v/>
      </c>
      <c r="L13" s="6">
        <f>IF($A13="","",COUNTIF(Phan_cong!$L$3:$L$302,$A13))</f>
        <v/>
      </c>
      <c r="M13" s="6">
        <f>IF($A13="","",COUNTIF(Phan_cong!$O$3:$O$302,$A13))</f>
        <v/>
      </c>
      <c r="N13" s="6" t="n"/>
    </row>
    <row r="14">
      <c r="A14" s="5">
        <f>DM_Giao_vien!A14</f>
        <v/>
      </c>
      <c r="B14" s="6">
        <f>DM_Giao_vien!B14</f>
        <v/>
      </c>
      <c r="C14" s="5">
        <f>DM_Giao_vien!C14</f>
        <v/>
      </c>
      <c r="D14" s="5">
        <f>DM_Giao_vien!H14</f>
        <v/>
      </c>
      <c r="E14" s="5">
        <f>IF($A14="","",SUMIFS(Phan_cong!$J$3:$J$302,Phan_cong!$L$3:$L$302,$A14))</f>
        <v/>
      </c>
      <c r="F14" s="5">
        <f>IF($A14="","",SUMIFS(Phan_cong!$K$3:$K$302,Phan_cong!$O$3:$O$302,$A14))</f>
        <v/>
      </c>
      <c r="G14" s="5">
        <f>IF($A14="","",ROUND($E14/Huong_dan!$B$7,2))</f>
        <v/>
      </c>
      <c r="H14" s="5">
        <f>IF($A14="","",ROUND($F14/Huong_dan!$B$8,2))</f>
        <v/>
      </c>
      <c r="I14" s="5">
        <f>IF($A14="","",ROUND($G14-$D14,2))</f>
        <v/>
      </c>
      <c r="J14" s="6">
        <f>IF($A14="","",ROUND($H14-$D14,2))</f>
        <v/>
      </c>
      <c r="K14" s="6">
        <f>IF($A14="","",$E14+$F14)</f>
        <v/>
      </c>
      <c r="L14" s="6">
        <f>IF($A14="","",COUNTIF(Phan_cong!$L$3:$L$302,$A14))</f>
        <v/>
      </c>
      <c r="M14" s="6">
        <f>IF($A14="","",COUNTIF(Phan_cong!$O$3:$O$302,$A14))</f>
        <v/>
      </c>
      <c r="N14" s="6" t="n"/>
    </row>
    <row r="15">
      <c r="A15" s="5">
        <f>DM_Giao_vien!A15</f>
        <v/>
      </c>
      <c r="B15" s="6">
        <f>DM_Giao_vien!B15</f>
        <v/>
      </c>
      <c r="C15" s="5">
        <f>DM_Giao_vien!C15</f>
        <v/>
      </c>
      <c r="D15" s="5">
        <f>DM_Giao_vien!H15</f>
        <v/>
      </c>
      <c r="E15" s="5">
        <f>IF($A15="","",SUMIFS(Phan_cong!$J$3:$J$302,Phan_cong!$L$3:$L$302,$A15))</f>
        <v/>
      </c>
      <c r="F15" s="5">
        <f>IF($A15="","",SUMIFS(Phan_cong!$K$3:$K$302,Phan_cong!$O$3:$O$302,$A15))</f>
        <v/>
      </c>
      <c r="G15" s="5">
        <f>IF($A15="","",ROUND($E15/Huong_dan!$B$7,2))</f>
        <v/>
      </c>
      <c r="H15" s="5">
        <f>IF($A15="","",ROUND($F15/Huong_dan!$B$8,2))</f>
        <v/>
      </c>
      <c r="I15" s="5">
        <f>IF($A15="","",ROUND($G15-$D15,2))</f>
        <v/>
      </c>
      <c r="J15" s="6">
        <f>IF($A15="","",ROUND($H15-$D15,2))</f>
        <v/>
      </c>
      <c r="K15" s="6">
        <f>IF($A15="","",$E15+$F15)</f>
        <v/>
      </c>
      <c r="L15" s="6">
        <f>IF($A15="","",COUNTIF(Phan_cong!$L$3:$L$302,$A15))</f>
        <v/>
      </c>
      <c r="M15" s="6">
        <f>IF($A15="","",COUNTIF(Phan_cong!$O$3:$O$302,$A15))</f>
        <v/>
      </c>
      <c r="N15" s="6" t="n"/>
    </row>
    <row r="16">
      <c r="A16" s="5">
        <f>DM_Giao_vien!A16</f>
        <v/>
      </c>
      <c r="B16" s="6">
        <f>DM_Giao_vien!B16</f>
        <v/>
      </c>
      <c r="C16" s="5">
        <f>DM_Giao_vien!C16</f>
        <v/>
      </c>
      <c r="D16" s="5">
        <f>DM_Giao_vien!H16</f>
        <v/>
      </c>
      <c r="E16" s="5">
        <f>IF($A16="","",SUMIFS(Phan_cong!$J$3:$J$302,Phan_cong!$L$3:$L$302,$A16))</f>
        <v/>
      </c>
      <c r="F16" s="5">
        <f>IF($A16="","",SUMIFS(Phan_cong!$K$3:$K$302,Phan_cong!$O$3:$O$302,$A16))</f>
        <v/>
      </c>
      <c r="G16" s="5">
        <f>IF($A16="","",ROUND($E16/Huong_dan!$B$7,2))</f>
        <v/>
      </c>
      <c r="H16" s="5">
        <f>IF($A16="","",ROUND($F16/Huong_dan!$B$8,2))</f>
        <v/>
      </c>
      <c r="I16" s="5">
        <f>IF($A16="","",ROUND($G16-$D16,2))</f>
        <v/>
      </c>
      <c r="J16" s="6">
        <f>IF($A16="","",ROUND($H16-$D16,2))</f>
        <v/>
      </c>
      <c r="K16" s="6">
        <f>IF($A16="","",$E16+$F16)</f>
        <v/>
      </c>
      <c r="L16" s="6">
        <f>IF($A16="","",COUNTIF(Phan_cong!$L$3:$L$302,$A16))</f>
        <v/>
      </c>
      <c r="M16" s="6">
        <f>IF($A16="","",COUNTIF(Phan_cong!$O$3:$O$302,$A16))</f>
        <v/>
      </c>
      <c r="N16" s="6" t="n"/>
    </row>
    <row r="17">
      <c r="A17" s="5">
        <f>DM_Giao_vien!A17</f>
        <v/>
      </c>
      <c r="B17" s="6">
        <f>DM_Giao_vien!B17</f>
        <v/>
      </c>
      <c r="C17" s="5">
        <f>DM_Giao_vien!C17</f>
        <v/>
      </c>
      <c r="D17" s="5">
        <f>DM_Giao_vien!H17</f>
        <v/>
      </c>
      <c r="E17" s="5">
        <f>IF($A17="","",SUMIFS(Phan_cong!$J$3:$J$302,Phan_cong!$L$3:$L$302,$A17))</f>
        <v/>
      </c>
      <c r="F17" s="5">
        <f>IF($A17="","",SUMIFS(Phan_cong!$K$3:$K$302,Phan_cong!$O$3:$O$302,$A17))</f>
        <v/>
      </c>
      <c r="G17" s="5">
        <f>IF($A17="","",ROUND($E17/Huong_dan!$B$7,2))</f>
        <v/>
      </c>
      <c r="H17" s="5">
        <f>IF($A17="","",ROUND($F17/Huong_dan!$B$8,2))</f>
        <v/>
      </c>
      <c r="I17" s="5">
        <f>IF($A17="","",ROUND($G17-$D17,2))</f>
        <v/>
      </c>
      <c r="J17" s="6">
        <f>IF($A17="","",ROUND($H17-$D17,2))</f>
        <v/>
      </c>
      <c r="K17" s="6">
        <f>IF($A17="","",$E17+$F17)</f>
        <v/>
      </c>
      <c r="L17" s="6">
        <f>IF($A17="","",COUNTIF(Phan_cong!$L$3:$L$302,$A17))</f>
        <v/>
      </c>
      <c r="M17" s="6">
        <f>IF($A17="","",COUNTIF(Phan_cong!$O$3:$O$302,$A17))</f>
        <v/>
      </c>
      <c r="N17" s="6" t="n"/>
    </row>
    <row r="18">
      <c r="A18" s="5">
        <f>DM_Giao_vien!A18</f>
        <v/>
      </c>
      <c r="B18" s="6">
        <f>DM_Giao_vien!B18</f>
        <v/>
      </c>
      <c r="C18" s="5">
        <f>DM_Giao_vien!C18</f>
        <v/>
      </c>
      <c r="D18" s="5">
        <f>DM_Giao_vien!H18</f>
        <v/>
      </c>
      <c r="E18" s="5">
        <f>IF($A18="","",SUMIFS(Phan_cong!$J$3:$J$302,Phan_cong!$L$3:$L$302,$A18))</f>
        <v/>
      </c>
      <c r="F18" s="5">
        <f>IF($A18="","",SUMIFS(Phan_cong!$K$3:$K$302,Phan_cong!$O$3:$O$302,$A18))</f>
        <v/>
      </c>
      <c r="G18" s="5">
        <f>IF($A18="","",ROUND($E18/Huong_dan!$B$7,2))</f>
        <v/>
      </c>
      <c r="H18" s="5">
        <f>IF($A18="","",ROUND($F18/Huong_dan!$B$8,2))</f>
        <v/>
      </c>
      <c r="I18" s="5">
        <f>IF($A18="","",ROUND($G18-$D18,2))</f>
        <v/>
      </c>
      <c r="J18" s="6">
        <f>IF($A18="","",ROUND($H18-$D18,2))</f>
        <v/>
      </c>
      <c r="K18" s="6">
        <f>IF($A18="","",$E18+$F18)</f>
        <v/>
      </c>
      <c r="L18" s="6">
        <f>IF($A18="","",COUNTIF(Phan_cong!$L$3:$L$302,$A18))</f>
        <v/>
      </c>
      <c r="M18" s="6">
        <f>IF($A18="","",COUNTIF(Phan_cong!$O$3:$O$302,$A18))</f>
        <v/>
      </c>
      <c r="N18" s="6" t="n"/>
    </row>
    <row r="19">
      <c r="A19" s="5">
        <f>DM_Giao_vien!A19</f>
        <v/>
      </c>
      <c r="B19" s="6">
        <f>DM_Giao_vien!B19</f>
        <v/>
      </c>
      <c r="C19" s="5">
        <f>DM_Giao_vien!C19</f>
        <v/>
      </c>
      <c r="D19" s="5">
        <f>DM_Giao_vien!H19</f>
        <v/>
      </c>
      <c r="E19" s="5">
        <f>IF($A19="","",SUMIFS(Phan_cong!$J$3:$J$302,Phan_cong!$L$3:$L$302,$A19))</f>
        <v/>
      </c>
      <c r="F19" s="5">
        <f>IF($A19="","",SUMIFS(Phan_cong!$K$3:$K$302,Phan_cong!$O$3:$O$302,$A19))</f>
        <v/>
      </c>
      <c r="G19" s="5">
        <f>IF($A19="","",ROUND($E19/Huong_dan!$B$7,2))</f>
        <v/>
      </c>
      <c r="H19" s="5">
        <f>IF($A19="","",ROUND($F19/Huong_dan!$B$8,2))</f>
        <v/>
      </c>
      <c r="I19" s="5">
        <f>IF($A19="","",ROUND($G19-$D19,2))</f>
        <v/>
      </c>
      <c r="J19" s="6">
        <f>IF($A19="","",ROUND($H19-$D19,2))</f>
        <v/>
      </c>
      <c r="K19" s="6">
        <f>IF($A19="","",$E19+$F19)</f>
        <v/>
      </c>
      <c r="L19" s="6">
        <f>IF($A19="","",COUNTIF(Phan_cong!$L$3:$L$302,$A19))</f>
        <v/>
      </c>
      <c r="M19" s="6">
        <f>IF($A19="","",COUNTIF(Phan_cong!$O$3:$O$302,$A19))</f>
        <v/>
      </c>
      <c r="N19" s="6" t="n"/>
    </row>
    <row r="20">
      <c r="A20" s="5">
        <f>DM_Giao_vien!A20</f>
        <v/>
      </c>
      <c r="B20" s="6">
        <f>DM_Giao_vien!B20</f>
        <v/>
      </c>
      <c r="C20" s="5">
        <f>DM_Giao_vien!C20</f>
        <v/>
      </c>
      <c r="D20" s="5">
        <f>DM_Giao_vien!H20</f>
        <v/>
      </c>
      <c r="E20" s="5">
        <f>IF($A20="","",SUMIFS(Phan_cong!$J$3:$J$302,Phan_cong!$L$3:$L$302,$A20))</f>
        <v/>
      </c>
      <c r="F20" s="5">
        <f>IF($A20="","",SUMIFS(Phan_cong!$K$3:$K$302,Phan_cong!$O$3:$O$302,$A20))</f>
        <v/>
      </c>
      <c r="G20" s="5">
        <f>IF($A20="","",ROUND($E20/Huong_dan!$B$7,2))</f>
        <v/>
      </c>
      <c r="H20" s="5">
        <f>IF($A20="","",ROUND($F20/Huong_dan!$B$8,2))</f>
        <v/>
      </c>
      <c r="I20" s="5">
        <f>IF($A20="","",ROUND($G20-$D20,2))</f>
        <v/>
      </c>
      <c r="J20" s="6">
        <f>IF($A20="","",ROUND($H20-$D20,2))</f>
        <v/>
      </c>
      <c r="K20" s="6">
        <f>IF($A20="","",$E20+$F20)</f>
        <v/>
      </c>
      <c r="L20" s="6">
        <f>IF($A20="","",COUNTIF(Phan_cong!$L$3:$L$302,$A20))</f>
        <v/>
      </c>
      <c r="M20" s="6">
        <f>IF($A20="","",COUNTIF(Phan_cong!$O$3:$O$302,$A20))</f>
        <v/>
      </c>
      <c r="N20" s="6" t="n"/>
    </row>
    <row r="21">
      <c r="A21" s="5">
        <f>DM_Giao_vien!A21</f>
        <v/>
      </c>
      <c r="B21" s="6">
        <f>DM_Giao_vien!B21</f>
        <v/>
      </c>
      <c r="C21" s="5">
        <f>DM_Giao_vien!C21</f>
        <v/>
      </c>
      <c r="D21" s="5">
        <f>DM_Giao_vien!H21</f>
        <v/>
      </c>
      <c r="E21" s="5">
        <f>IF($A21="","",SUMIFS(Phan_cong!$J$3:$J$302,Phan_cong!$L$3:$L$302,$A21))</f>
        <v/>
      </c>
      <c r="F21" s="5">
        <f>IF($A21="","",SUMIFS(Phan_cong!$K$3:$K$302,Phan_cong!$O$3:$O$302,$A21))</f>
        <v/>
      </c>
      <c r="G21" s="5">
        <f>IF($A21="","",ROUND($E21/Huong_dan!$B$7,2))</f>
        <v/>
      </c>
      <c r="H21" s="5">
        <f>IF($A21="","",ROUND($F21/Huong_dan!$B$8,2))</f>
        <v/>
      </c>
      <c r="I21" s="5">
        <f>IF($A21="","",ROUND($G21-$D21,2))</f>
        <v/>
      </c>
      <c r="J21" s="6">
        <f>IF($A21="","",ROUND($H21-$D21,2))</f>
        <v/>
      </c>
      <c r="K21" s="6">
        <f>IF($A21="","",$E21+$F21)</f>
        <v/>
      </c>
      <c r="L21" s="6">
        <f>IF($A21="","",COUNTIF(Phan_cong!$L$3:$L$302,$A21))</f>
        <v/>
      </c>
      <c r="M21" s="6">
        <f>IF($A21="","",COUNTIF(Phan_cong!$O$3:$O$302,$A21))</f>
        <v/>
      </c>
      <c r="N21" s="6" t="n"/>
    </row>
    <row r="22">
      <c r="A22" s="5">
        <f>DM_Giao_vien!A22</f>
        <v/>
      </c>
      <c r="B22" s="6">
        <f>DM_Giao_vien!B22</f>
        <v/>
      </c>
      <c r="C22" s="5">
        <f>DM_Giao_vien!C22</f>
        <v/>
      </c>
      <c r="D22" s="5">
        <f>DM_Giao_vien!H22</f>
        <v/>
      </c>
      <c r="E22" s="5">
        <f>IF($A22="","",SUMIFS(Phan_cong!$J$3:$J$302,Phan_cong!$L$3:$L$302,$A22))</f>
        <v/>
      </c>
      <c r="F22" s="5">
        <f>IF($A22="","",SUMIFS(Phan_cong!$K$3:$K$302,Phan_cong!$O$3:$O$302,$A22))</f>
        <v/>
      </c>
      <c r="G22" s="5">
        <f>IF($A22="","",ROUND($E22/Huong_dan!$B$7,2))</f>
        <v/>
      </c>
      <c r="H22" s="5">
        <f>IF($A22="","",ROUND($F22/Huong_dan!$B$8,2))</f>
        <v/>
      </c>
      <c r="I22" s="5">
        <f>IF($A22="","",ROUND($G22-$D22,2))</f>
        <v/>
      </c>
      <c r="J22" s="6">
        <f>IF($A22="","",ROUND($H22-$D22,2))</f>
        <v/>
      </c>
      <c r="K22" s="6">
        <f>IF($A22="","",$E22+$F22)</f>
        <v/>
      </c>
      <c r="L22" s="6">
        <f>IF($A22="","",COUNTIF(Phan_cong!$L$3:$L$302,$A22))</f>
        <v/>
      </c>
      <c r="M22" s="6">
        <f>IF($A22="","",COUNTIF(Phan_cong!$O$3:$O$302,$A22))</f>
        <v/>
      </c>
      <c r="N22" s="6" t="n"/>
    </row>
    <row r="23">
      <c r="A23" s="5">
        <f>DM_Giao_vien!A23</f>
        <v/>
      </c>
      <c r="B23" s="6">
        <f>DM_Giao_vien!B23</f>
        <v/>
      </c>
      <c r="C23" s="5">
        <f>DM_Giao_vien!C23</f>
        <v/>
      </c>
      <c r="D23" s="5">
        <f>DM_Giao_vien!H23</f>
        <v/>
      </c>
      <c r="E23" s="5">
        <f>IF($A23="","",SUMIFS(Phan_cong!$J$3:$J$302,Phan_cong!$L$3:$L$302,$A23))</f>
        <v/>
      </c>
      <c r="F23" s="5">
        <f>IF($A23="","",SUMIFS(Phan_cong!$K$3:$K$302,Phan_cong!$O$3:$O$302,$A23))</f>
        <v/>
      </c>
      <c r="G23" s="5">
        <f>IF($A23="","",ROUND($E23/Huong_dan!$B$7,2))</f>
        <v/>
      </c>
      <c r="H23" s="5">
        <f>IF($A23="","",ROUND($F23/Huong_dan!$B$8,2))</f>
        <v/>
      </c>
      <c r="I23" s="5">
        <f>IF($A23="","",ROUND($G23-$D23,2))</f>
        <v/>
      </c>
      <c r="J23" s="6">
        <f>IF($A23="","",ROUND($H23-$D23,2))</f>
        <v/>
      </c>
      <c r="K23" s="6">
        <f>IF($A23="","",$E23+$F23)</f>
        <v/>
      </c>
      <c r="L23" s="6">
        <f>IF($A23="","",COUNTIF(Phan_cong!$L$3:$L$302,$A23))</f>
        <v/>
      </c>
      <c r="M23" s="6">
        <f>IF($A23="","",COUNTIF(Phan_cong!$O$3:$O$302,$A23))</f>
        <v/>
      </c>
      <c r="N23" s="6" t="n"/>
    </row>
    <row r="24">
      <c r="A24" s="5">
        <f>DM_Giao_vien!A24</f>
        <v/>
      </c>
      <c r="B24" s="6">
        <f>DM_Giao_vien!B24</f>
        <v/>
      </c>
      <c r="C24" s="5">
        <f>DM_Giao_vien!C24</f>
        <v/>
      </c>
      <c r="D24" s="5">
        <f>DM_Giao_vien!H24</f>
        <v/>
      </c>
      <c r="E24" s="5">
        <f>IF($A24="","",SUMIFS(Phan_cong!$J$3:$J$302,Phan_cong!$L$3:$L$302,$A24))</f>
        <v/>
      </c>
      <c r="F24" s="5">
        <f>IF($A24="","",SUMIFS(Phan_cong!$K$3:$K$302,Phan_cong!$O$3:$O$302,$A24))</f>
        <v/>
      </c>
      <c r="G24" s="5">
        <f>IF($A24="","",ROUND($E24/Huong_dan!$B$7,2))</f>
        <v/>
      </c>
      <c r="H24" s="5">
        <f>IF($A24="","",ROUND($F24/Huong_dan!$B$8,2))</f>
        <v/>
      </c>
      <c r="I24" s="5">
        <f>IF($A24="","",ROUND($G24-$D24,2))</f>
        <v/>
      </c>
      <c r="J24" s="6">
        <f>IF($A24="","",ROUND($H24-$D24,2))</f>
        <v/>
      </c>
      <c r="K24" s="6">
        <f>IF($A24="","",$E24+$F24)</f>
        <v/>
      </c>
      <c r="L24" s="6">
        <f>IF($A24="","",COUNTIF(Phan_cong!$L$3:$L$302,$A24))</f>
        <v/>
      </c>
      <c r="M24" s="6">
        <f>IF($A24="","",COUNTIF(Phan_cong!$O$3:$O$302,$A24))</f>
        <v/>
      </c>
      <c r="N24" s="6" t="n"/>
    </row>
    <row r="25">
      <c r="A25" s="5">
        <f>DM_Giao_vien!A25</f>
        <v/>
      </c>
      <c r="B25" s="6">
        <f>DM_Giao_vien!B25</f>
        <v/>
      </c>
      <c r="C25" s="5">
        <f>DM_Giao_vien!C25</f>
        <v/>
      </c>
      <c r="D25" s="5">
        <f>DM_Giao_vien!H25</f>
        <v/>
      </c>
      <c r="E25" s="5">
        <f>IF($A25="","",SUMIFS(Phan_cong!$J$3:$J$302,Phan_cong!$L$3:$L$302,$A25))</f>
        <v/>
      </c>
      <c r="F25" s="5">
        <f>IF($A25="","",SUMIFS(Phan_cong!$K$3:$K$302,Phan_cong!$O$3:$O$302,$A25))</f>
        <v/>
      </c>
      <c r="G25" s="5">
        <f>IF($A25="","",ROUND($E25/Huong_dan!$B$7,2))</f>
        <v/>
      </c>
      <c r="H25" s="5">
        <f>IF($A25="","",ROUND($F25/Huong_dan!$B$8,2))</f>
        <v/>
      </c>
      <c r="I25" s="5">
        <f>IF($A25="","",ROUND($G25-$D25,2))</f>
        <v/>
      </c>
      <c r="J25" s="6">
        <f>IF($A25="","",ROUND($H25-$D25,2))</f>
        <v/>
      </c>
      <c r="K25" s="6">
        <f>IF($A25="","",$E25+$F25)</f>
        <v/>
      </c>
      <c r="L25" s="6">
        <f>IF($A25="","",COUNTIF(Phan_cong!$L$3:$L$302,$A25))</f>
        <v/>
      </c>
      <c r="M25" s="6">
        <f>IF($A25="","",COUNTIF(Phan_cong!$O$3:$O$302,$A25))</f>
        <v/>
      </c>
      <c r="N25" s="6" t="n"/>
    </row>
    <row r="26">
      <c r="A26" s="5">
        <f>DM_Giao_vien!A26</f>
        <v/>
      </c>
      <c r="B26" s="6">
        <f>DM_Giao_vien!B26</f>
        <v/>
      </c>
      <c r="C26" s="5">
        <f>DM_Giao_vien!C26</f>
        <v/>
      </c>
      <c r="D26" s="5">
        <f>DM_Giao_vien!H26</f>
        <v/>
      </c>
      <c r="E26" s="5">
        <f>IF($A26="","",SUMIFS(Phan_cong!$J$3:$J$302,Phan_cong!$L$3:$L$302,$A26))</f>
        <v/>
      </c>
      <c r="F26" s="5">
        <f>IF($A26="","",SUMIFS(Phan_cong!$K$3:$K$302,Phan_cong!$O$3:$O$302,$A26))</f>
        <v/>
      </c>
      <c r="G26" s="5">
        <f>IF($A26="","",ROUND($E26/Huong_dan!$B$7,2))</f>
        <v/>
      </c>
      <c r="H26" s="5">
        <f>IF($A26="","",ROUND($F26/Huong_dan!$B$8,2))</f>
        <v/>
      </c>
      <c r="I26" s="5">
        <f>IF($A26="","",ROUND($G26-$D26,2))</f>
        <v/>
      </c>
      <c r="J26" s="6">
        <f>IF($A26="","",ROUND($H26-$D26,2))</f>
        <v/>
      </c>
      <c r="K26" s="6">
        <f>IF($A26="","",$E26+$F26)</f>
        <v/>
      </c>
      <c r="L26" s="6">
        <f>IF($A26="","",COUNTIF(Phan_cong!$L$3:$L$302,$A26))</f>
        <v/>
      </c>
      <c r="M26" s="6">
        <f>IF($A26="","",COUNTIF(Phan_cong!$O$3:$O$302,$A26))</f>
        <v/>
      </c>
      <c r="N26" s="6" t="n"/>
    </row>
    <row r="27">
      <c r="A27" s="5">
        <f>DM_Giao_vien!A27</f>
        <v/>
      </c>
      <c r="B27" s="6">
        <f>DM_Giao_vien!B27</f>
        <v/>
      </c>
      <c r="C27" s="5">
        <f>DM_Giao_vien!C27</f>
        <v/>
      </c>
      <c r="D27" s="5">
        <f>DM_Giao_vien!H27</f>
        <v/>
      </c>
      <c r="E27" s="5">
        <f>IF($A27="","",SUMIFS(Phan_cong!$J$3:$J$302,Phan_cong!$L$3:$L$302,$A27))</f>
        <v/>
      </c>
      <c r="F27" s="5">
        <f>IF($A27="","",SUMIFS(Phan_cong!$K$3:$K$302,Phan_cong!$O$3:$O$302,$A27))</f>
        <v/>
      </c>
      <c r="G27" s="5">
        <f>IF($A27="","",ROUND($E27/Huong_dan!$B$7,2))</f>
        <v/>
      </c>
      <c r="H27" s="5">
        <f>IF($A27="","",ROUND($F27/Huong_dan!$B$8,2))</f>
        <v/>
      </c>
      <c r="I27" s="5">
        <f>IF($A27="","",ROUND($G27-$D27,2))</f>
        <v/>
      </c>
      <c r="J27" s="6">
        <f>IF($A27="","",ROUND($H27-$D27,2))</f>
        <v/>
      </c>
      <c r="K27" s="6">
        <f>IF($A27="","",$E27+$F27)</f>
        <v/>
      </c>
      <c r="L27" s="6">
        <f>IF($A27="","",COUNTIF(Phan_cong!$L$3:$L$302,$A27))</f>
        <v/>
      </c>
      <c r="M27" s="6">
        <f>IF($A27="","",COUNTIF(Phan_cong!$O$3:$O$302,$A27))</f>
        <v/>
      </c>
      <c r="N27" s="6" t="n"/>
    </row>
    <row r="28">
      <c r="A28" s="5">
        <f>DM_Giao_vien!A28</f>
        <v/>
      </c>
      <c r="B28" s="6">
        <f>DM_Giao_vien!B28</f>
        <v/>
      </c>
      <c r="C28" s="5">
        <f>DM_Giao_vien!C28</f>
        <v/>
      </c>
      <c r="D28" s="5">
        <f>DM_Giao_vien!H28</f>
        <v/>
      </c>
      <c r="E28" s="5">
        <f>IF($A28="","",SUMIFS(Phan_cong!$J$3:$J$302,Phan_cong!$L$3:$L$302,$A28))</f>
        <v/>
      </c>
      <c r="F28" s="5">
        <f>IF($A28="","",SUMIFS(Phan_cong!$K$3:$K$302,Phan_cong!$O$3:$O$302,$A28))</f>
        <v/>
      </c>
      <c r="G28" s="5">
        <f>IF($A28="","",ROUND($E28/Huong_dan!$B$7,2))</f>
        <v/>
      </c>
      <c r="H28" s="5">
        <f>IF($A28="","",ROUND($F28/Huong_dan!$B$8,2))</f>
        <v/>
      </c>
      <c r="I28" s="5">
        <f>IF($A28="","",ROUND($G28-$D28,2))</f>
        <v/>
      </c>
      <c r="J28" s="6">
        <f>IF($A28="","",ROUND($H28-$D28,2))</f>
        <v/>
      </c>
      <c r="K28" s="6">
        <f>IF($A28="","",$E28+$F28)</f>
        <v/>
      </c>
      <c r="L28" s="6">
        <f>IF($A28="","",COUNTIF(Phan_cong!$L$3:$L$302,$A28))</f>
        <v/>
      </c>
      <c r="M28" s="6">
        <f>IF($A28="","",COUNTIF(Phan_cong!$O$3:$O$302,$A28))</f>
        <v/>
      </c>
      <c r="N28" s="6" t="n"/>
    </row>
    <row r="29">
      <c r="A29" s="5">
        <f>DM_Giao_vien!A29</f>
        <v/>
      </c>
      <c r="B29" s="6">
        <f>DM_Giao_vien!B29</f>
        <v/>
      </c>
      <c r="C29" s="5">
        <f>DM_Giao_vien!C29</f>
        <v/>
      </c>
      <c r="D29" s="5">
        <f>DM_Giao_vien!H29</f>
        <v/>
      </c>
      <c r="E29" s="5">
        <f>IF($A29="","",SUMIFS(Phan_cong!$J$3:$J$302,Phan_cong!$L$3:$L$302,$A29))</f>
        <v/>
      </c>
      <c r="F29" s="5">
        <f>IF($A29="","",SUMIFS(Phan_cong!$K$3:$K$302,Phan_cong!$O$3:$O$302,$A29))</f>
        <v/>
      </c>
      <c r="G29" s="5">
        <f>IF($A29="","",ROUND($E29/Huong_dan!$B$7,2))</f>
        <v/>
      </c>
      <c r="H29" s="5">
        <f>IF($A29="","",ROUND($F29/Huong_dan!$B$8,2))</f>
        <v/>
      </c>
      <c r="I29" s="5">
        <f>IF($A29="","",ROUND($G29-$D29,2))</f>
        <v/>
      </c>
      <c r="J29" s="6">
        <f>IF($A29="","",ROUND($H29-$D29,2))</f>
        <v/>
      </c>
      <c r="K29" s="6">
        <f>IF($A29="","",$E29+$F29)</f>
        <v/>
      </c>
      <c r="L29" s="6">
        <f>IF($A29="","",COUNTIF(Phan_cong!$L$3:$L$302,$A29))</f>
        <v/>
      </c>
      <c r="M29" s="6">
        <f>IF($A29="","",COUNTIF(Phan_cong!$O$3:$O$302,$A29))</f>
        <v/>
      </c>
      <c r="N29" s="6" t="n"/>
    </row>
    <row r="30">
      <c r="A30" s="5">
        <f>DM_Giao_vien!A30</f>
        <v/>
      </c>
      <c r="B30" s="6">
        <f>DM_Giao_vien!B30</f>
        <v/>
      </c>
      <c r="C30" s="5">
        <f>DM_Giao_vien!C30</f>
        <v/>
      </c>
      <c r="D30" s="5">
        <f>DM_Giao_vien!H30</f>
        <v/>
      </c>
      <c r="E30" s="5">
        <f>IF($A30="","",SUMIFS(Phan_cong!$J$3:$J$302,Phan_cong!$L$3:$L$302,$A30))</f>
        <v/>
      </c>
      <c r="F30" s="5">
        <f>IF($A30="","",SUMIFS(Phan_cong!$K$3:$K$302,Phan_cong!$O$3:$O$302,$A30))</f>
        <v/>
      </c>
      <c r="G30" s="5">
        <f>IF($A30="","",ROUND($E30/Huong_dan!$B$7,2))</f>
        <v/>
      </c>
      <c r="H30" s="5">
        <f>IF($A30="","",ROUND($F30/Huong_dan!$B$8,2))</f>
        <v/>
      </c>
      <c r="I30" s="5">
        <f>IF($A30="","",ROUND($G30-$D30,2))</f>
        <v/>
      </c>
      <c r="J30" s="6">
        <f>IF($A30="","",ROUND($H30-$D30,2))</f>
        <v/>
      </c>
      <c r="K30" s="6">
        <f>IF($A30="","",$E30+$F30)</f>
        <v/>
      </c>
      <c r="L30" s="6">
        <f>IF($A30="","",COUNTIF(Phan_cong!$L$3:$L$302,$A30))</f>
        <v/>
      </c>
      <c r="M30" s="6">
        <f>IF($A30="","",COUNTIF(Phan_cong!$O$3:$O$302,$A30))</f>
        <v/>
      </c>
      <c r="N30" s="6" t="n"/>
    </row>
    <row r="31">
      <c r="A31" s="5">
        <f>DM_Giao_vien!A31</f>
        <v/>
      </c>
      <c r="B31" s="6">
        <f>DM_Giao_vien!B31</f>
        <v/>
      </c>
      <c r="C31" s="5">
        <f>DM_Giao_vien!C31</f>
        <v/>
      </c>
      <c r="D31" s="5">
        <f>DM_Giao_vien!H31</f>
        <v/>
      </c>
      <c r="E31" s="5">
        <f>IF($A31="","",SUMIFS(Phan_cong!$J$3:$J$302,Phan_cong!$L$3:$L$302,$A31))</f>
        <v/>
      </c>
      <c r="F31" s="5">
        <f>IF($A31="","",SUMIFS(Phan_cong!$K$3:$K$302,Phan_cong!$O$3:$O$302,$A31))</f>
        <v/>
      </c>
      <c r="G31" s="5">
        <f>IF($A31="","",ROUND($E31/Huong_dan!$B$7,2))</f>
        <v/>
      </c>
      <c r="H31" s="5">
        <f>IF($A31="","",ROUND($F31/Huong_dan!$B$8,2))</f>
        <v/>
      </c>
      <c r="I31" s="5">
        <f>IF($A31="","",ROUND($G31-$D31,2))</f>
        <v/>
      </c>
      <c r="J31" s="6">
        <f>IF($A31="","",ROUND($H31-$D31,2))</f>
        <v/>
      </c>
      <c r="K31" s="6">
        <f>IF($A31="","",$E31+$F31)</f>
        <v/>
      </c>
      <c r="L31" s="6">
        <f>IF($A31="","",COUNTIF(Phan_cong!$L$3:$L$302,$A31))</f>
        <v/>
      </c>
      <c r="M31" s="6">
        <f>IF($A31="","",COUNTIF(Phan_cong!$O$3:$O$302,$A31))</f>
        <v/>
      </c>
      <c r="N31" s="6" t="n"/>
    </row>
    <row r="32">
      <c r="A32" s="5">
        <f>DM_Giao_vien!A32</f>
        <v/>
      </c>
      <c r="B32" s="6">
        <f>DM_Giao_vien!B32</f>
        <v/>
      </c>
      <c r="C32" s="5">
        <f>DM_Giao_vien!C32</f>
        <v/>
      </c>
      <c r="D32" s="5">
        <f>DM_Giao_vien!H32</f>
        <v/>
      </c>
      <c r="E32" s="5">
        <f>IF($A32="","",SUMIFS(Phan_cong!$J$3:$J$302,Phan_cong!$L$3:$L$302,$A32))</f>
        <v/>
      </c>
      <c r="F32" s="5">
        <f>IF($A32="","",SUMIFS(Phan_cong!$K$3:$K$302,Phan_cong!$O$3:$O$302,$A32))</f>
        <v/>
      </c>
      <c r="G32" s="5">
        <f>IF($A32="","",ROUND($E32/Huong_dan!$B$7,2))</f>
        <v/>
      </c>
      <c r="H32" s="5">
        <f>IF($A32="","",ROUND($F32/Huong_dan!$B$8,2))</f>
        <v/>
      </c>
      <c r="I32" s="5">
        <f>IF($A32="","",ROUND($G32-$D32,2))</f>
        <v/>
      </c>
      <c r="J32" s="6">
        <f>IF($A32="","",ROUND($H32-$D32,2))</f>
        <v/>
      </c>
      <c r="K32" s="6">
        <f>IF($A32="","",$E32+$F32)</f>
        <v/>
      </c>
      <c r="L32" s="6">
        <f>IF($A32="","",COUNTIF(Phan_cong!$L$3:$L$302,$A32))</f>
        <v/>
      </c>
      <c r="M32" s="6">
        <f>IF($A32="","",COUNTIF(Phan_cong!$O$3:$O$302,$A32))</f>
        <v/>
      </c>
      <c r="N32" s="6" t="n"/>
    </row>
    <row r="33">
      <c r="A33" s="5">
        <f>DM_Giao_vien!A33</f>
        <v/>
      </c>
      <c r="B33" s="6">
        <f>DM_Giao_vien!B33</f>
        <v/>
      </c>
      <c r="C33" s="5">
        <f>DM_Giao_vien!C33</f>
        <v/>
      </c>
      <c r="D33" s="5">
        <f>DM_Giao_vien!H33</f>
        <v/>
      </c>
      <c r="E33" s="5">
        <f>IF($A33="","",SUMIFS(Phan_cong!$J$3:$J$302,Phan_cong!$L$3:$L$302,$A33))</f>
        <v/>
      </c>
      <c r="F33" s="5">
        <f>IF($A33="","",SUMIFS(Phan_cong!$K$3:$K$302,Phan_cong!$O$3:$O$302,$A33))</f>
        <v/>
      </c>
      <c r="G33" s="5">
        <f>IF($A33="","",ROUND($E33/Huong_dan!$B$7,2))</f>
        <v/>
      </c>
      <c r="H33" s="5">
        <f>IF($A33="","",ROUND($F33/Huong_dan!$B$8,2))</f>
        <v/>
      </c>
      <c r="I33" s="5">
        <f>IF($A33="","",ROUND($G33-$D33,2))</f>
        <v/>
      </c>
      <c r="J33" s="6">
        <f>IF($A33="","",ROUND($H33-$D33,2))</f>
        <v/>
      </c>
      <c r="K33" s="6">
        <f>IF($A33="","",$E33+$F33)</f>
        <v/>
      </c>
      <c r="L33" s="6">
        <f>IF($A33="","",COUNTIF(Phan_cong!$L$3:$L$302,$A33))</f>
        <v/>
      </c>
      <c r="M33" s="6">
        <f>IF($A33="","",COUNTIF(Phan_cong!$O$3:$O$302,$A33))</f>
        <v/>
      </c>
      <c r="N33" s="6" t="n"/>
    </row>
    <row r="34">
      <c r="A34" s="5">
        <f>DM_Giao_vien!A34</f>
        <v/>
      </c>
      <c r="B34" s="6">
        <f>DM_Giao_vien!B34</f>
        <v/>
      </c>
      <c r="C34" s="5">
        <f>DM_Giao_vien!C34</f>
        <v/>
      </c>
      <c r="D34" s="5">
        <f>DM_Giao_vien!H34</f>
        <v/>
      </c>
      <c r="E34" s="5">
        <f>IF($A34="","",SUMIFS(Phan_cong!$J$3:$J$302,Phan_cong!$L$3:$L$302,$A34))</f>
        <v/>
      </c>
      <c r="F34" s="5">
        <f>IF($A34="","",SUMIFS(Phan_cong!$K$3:$K$302,Phan_cong!$O$3:$O$302,$A34))</f>
        <v/>
      </c>
      <c r="G34" s="5">
        <f>IF($A34="","",ROUND($E34/Huong_dan!$B$7,2))</f>
        <v/>
      </c>
      <c r="H34" s="5">
        <f>IF($A34="","",ROUND($F34/Huong_dan!$B$8,2))</f>
        <v/>
      </c>
      <c r="I34" s="5">
        <f>IF($A34="","",ROUND($G34-$D34,2))</f>
        <v/>
      </c>
      <c r="J34" s="6">
        <f>IF($A34="","",ROUND($H34-$D34,2))</f>
        <v/>
      </c>
      <c r="K34" s="6">
        <f>IF($A34="","",$E34+$F34)</f>
        <v/>
      </c>
      <c r="L34" s="6">
        <f>IF($A34="","",COUNTIF(Phan_cong!$L$3:$L$302,$A34))</f>
        <v/>
      </c>
      <c r="M34" s="6">
        <f>IF($A34="","",COUNTIF(Phan_cong!$O$3:$O$302,$A34))</f>
        <v/>
      </c>
      <c r="N34" s="6" t="n"/>
    </row>
    <row r="35">
      <c r="A35" s="5">
        <f>DM_Giao_vien!A35</f>
        <v/>
      </c>
      <c r="B35" s="6">
        <f>DM_Giao_vien!B35</f>
        <v/>
      </c>
      <c r="C35" s="5">
        <f>DM_Giao_vien!C35</f>
        <v/>
      </c>
      <c r="D35" s="5">
        <f>DM_Giao_vien!H35</f>
        <v/>
      </c>
      <c r="E35" s="5">
        <f>IF($A35="","",SUMIFS(Phan_cong!$J$3:$J$302,Phan_cong!$L$3:$L$302,$A35))</f>
        <v/>
      </c>
      <c r="F35" s="5">
        <f>IF($A35="","",SUMIFS(Phan_cong!$K$3:$K$302,Phan_cong!$O$3:$O$302,$A35))</f>
        <v/>
      </c>
      <c r="G35" s="5">
        <f>IF($A35="","",ROUND($E35/Huong_dan!$B$7,2))</f>
        <v/>
      </c>
      <c r="H35" s="5">
        <f>IF($A35="","",ROUND($F35/Huong_dan!$B$8,2))</f>
        <v/>
      </c>
      <c r="I35" s="5">
        <f>IF($A35="","",ROUND($G35-$D35,2))</f>
        <v/>
      </c>
      <c r="J35" s="6">
        <f>IF($A35="","",ROUND($H35-$D35,2))</f>
        <v/>
      </c>
      <c r="K35" s="6">
        <f>IF($A35="","",$E35+$F35)</f>
        <v/>
      </c>
      <c r="L35" s="6">
        <f>IF($A35="","",COUNTIF(Phan_cong!$L$3:$L$302,$A35))</f>
        <v/>
      </c>
      <c r="M35" s="6">
        <f>IF($A35="","",COUNTIF(Phan_cong!$O$3:$O$302,$A35))</f>
        <v/>
      </c>
      <c r="N35" s="6" t="n"/>
    </row>
    <row r="36">
      <c r="A36" s="5">
        <f>DM_Giao_vien!A36</f>
        <v/>
      </c>
      <c r="B36" s="6">
        <f>DM_Giao_vien!B36</f>
        <v/>
      </c>
      <c r="C36" s="5">
        <f>DM_Giao_vien!C36</f>
        <v/>
      </c>
      <c r="D36" s="5">
        <f>DM_Giao_vien!H36</f>
        <v/>
      </c>
      <c r="E36" s="5">
        <f>IF($A36="","",SUMIFS(Phan_cong!$J$3:$J$302,Phan_cong!$L$3:$L$302,$A36))</f>
        <v/>
      </c>
      <c r="F36" s="5">
        <f>IF($A36="","",SUMIFS(Phan_cong!$K$3:$K$302,Phan_cong!$O$3:$O$302,$A36))</f>
        <v/>
      </c>
      <c r="G36" s="5">
        <f>IF($A36="","",ROUND($E36/Huong_dan!$B$7,2))</f>
        <v/>
      </c>
      <c r="H36" s="5">
        <f>IF($A36="","",ROUND($F36/Huong_dan!$B$8,2))</f>
        <v/>
      </c>
      <c r="I36" s="5">
        <f>IF($A36="","",ROUND($G36-$D36,2))</f>
        <v/>
      </c>
      <c r="J36" s="6">
        <f>IF($A36="","",ROUND($H36-$D36,2))</f>
        <v/>
      </c>
      <c r="K36" s="6">
        <f>IF($A36="","",$E36+$F36)</f>
        <v/>
      </c>
      <c r="L36" s="6">
        <f>IF($A36="","",COUNTIF(Phan_cong!$L$3:$L$302,$A36))</f>
        <v/>
      </c>
      <c r="M36" s="6">
        <f>IF($A36="","",COUNTIF(Phan_cong!$O$3:$O$302,$A36))</f>
        <v/>
      </c>
      <c r="N36" s="6" t="n"/>
    </row>
    <row r="37">
      <c r="A37" s="5">
        <f>DM_Giao_vien!A37</f>
        <v/>
      </c>
      <c r="B37" s="6">
        <f>DM_Giao_vien!B37</f>
        <v/>
      </c>
      <c r="C37" s="5">
        <f>DM_Giao_vien!C37</f>
        <v/>
      </c>
      <c r="D37" s="5">
        <f>DM_Giao_vien!H37</f>
        <v/>
      </c>
      <c r="E37" s="5">
        <f>IF($A37="","",SUMIFS(Phan_cong!$J$3:$J$302,Phan_cong!$L$3:$L$302,$A37))</f>
        <v/>
      </c>
      <c r="F37" s="5">
        <f>IF($A37="","",SUMIFS(Phan_cong!$K$3:$K$302,Phan_cong!$O$3:$O$302,$A37))</f>
        <v/>
      </c>
      <c r="G37" s="5">
        <f>IF($A37="","",ROUND($E37/Huong_dan!$B$7,2))</f>
        <v/>
      </c>
      <c r="H37" s="5">
        <f>IF($A37="","",ROUND($F37/Huong_dan!$B$8,2))</f>
        <v/>
      </c>
      <c r="I37" s="5">
        <f>IF($A37="","",ROUND($G37-$D37,2))</f>
        <v/>
      </c>
      <c r="J37" s="6">
        <f>IF($A37="","",ROUND($H37-$D37,2))</f>
        <v/>
      </c>
      <c r="K37" s="6">
        <f>IF($A37="","",$E37+$F37)</f>
        <v/>
      </c>
      <c r="L37" s="6">
        <f>IF($A37="","",COUNTIF(Phan_cong!$L$3:$L$302,$A37))</f>
        <v/>
      </c>
      <c r="M37" s="6">
        <f>IF($A37="","",COUNTIF(Phan_cong!$O$3:$O$302,$A37))</f>
        <v/>
      </c>
      <c r="N37" s="6" t="n"/>
    </row>
    <row r="38">
      <c r="A38" s="5">
        <f>DM_Giao_vien!A38</f>
        <v/>
      </c>
      <c r="B38" s="6">
        <f>DM_Giao_vien!B38</f>
        <v/>
      </c>
      <c r="C38" s="5">
        <f>DM_Giao_vien!C38</f>
        <v/>
      </c>
      <c r="D38" s="5">
        <f>DM_Giao_vien!H38</f>
        <v/>
      </c>
      <c r="E38" s="5">
        <f>IF($A38="","",SUMIFS(Phan_cong!$J$3:$J$302,Phan_cong!$L$3:$L$302,$A38))</f>
        <v/>
      </c>
      <c r="F38" s="5">
        <f>IF($A38="","",SUMIFS(Phan_cong!$K$3:$K$302,Phan_cong!$O$3:$O$302,$A38))</f>
        <v/>
      </c>
      <c r="G38" s="5">
        <f>IF($A38="","",ROUND($E38/Huong_dan!$B$7,2))</f>
        <v/>
      </c>
      <c r="H38" s="5">
        <f>IF($A38="","",ROUND($F38/Huong_dan!$B$8,2))</f>
        <v/>
      </c>
      <c r="I38" s="5">
        <f>IF($A38="","",ROUND($G38-$D38,2))</f>
        <v/>
      </c>
      <c r="J38" s="6">
        <f>IF($A38="","",ROUND($H38-$D38,2))</f>
        <v/>
      </c>
      <c r="K38" s="6">
        <f>IF($A38="","",$E38+$F38)</f>
        <v/>
      </c>
      <c r="L38" s="6">
        <f>IF($A38="","",COUNTIF(Phan_cong!$L$3:$L$302,$A38))</f>
        <v/>
      </c>
      <c r="M38" s="6">
        <f>IF($A38="","",COUNTIF(Phan_cong!$O$3:$O$302,$A38))</f>
        <v/>
      </c>
      <c r="N38" s="6" t="n"/>
    </row>
    <row r="39">
      <c r="A39" s="5">
        <f>DM_Giao_vien!A39</f>
        <v/>
      </c>
      <c r="B39" s="6">
        <f>DM_Giao_vien!B39</f>
        <v/>
      </c>
      <c r="C39" s="5">
        <f>DM_Giao_vien!C39</f>
        <v/>
      </c>
      <c r="D39" s="5">
        <f>DM_Giao_vien!H39</f>
        <v/>
      </c>
      <c r="E39" s="5">
        <f>IF($A39="","",SUMIFS(Phan_cong!$J$3:$J$302,Phan_cong!$L$3:$L$302,$A39))</f>
        <v/>
      </c>
      <c r="F39" s="5">
        <f>IF($A39="","",SUMIFS(Phan_cong!$K$3:$K$302,Phan_cong!$O$3:$O$302,$A39))</f>
        <v/>
      </c>
      <c r="G39" s="5">
        <f>IF($A39="","",ROUND($E39/Huong_dan!$B$7,2))</f>
        <v/>
      </c>
      <c r="H39" s="5">
        <f>IF($A39="","",ROUND($F39/Huong_dan!$B$8,2))</f>
        <v/>
      </c>
      <c r="I39" s="5">
        <f>IF($A39="","",ROUND($G39-$D39,2))</f>
        <v/>
      </c>
      <c r="J39" s="6">
        <f>IF($A39="","",ROUND($H39-$D39,2))</f>
        <v/>
      </c>
      <c r="K39" s="6">
        <f>IF($A39="","",$E39+$F39)</f>
        <v/>
      </c>
      <c r="L39" s="6">
        <f>IF($A39="","",COUNTIF(Phan_cong!$L$3:$L$302,$A39))</f>
        <v/>
      </c>
      <c r="M39" s="6">
        <f>IF($A39="","",COUNTIF(Phan_cong!$O$3:$O$302,$A39))</f>
        <v/>
      </c>
      <c r="N39" s="6" t="n"/>
    </row>
    <row r="40">
      <c r="A40" s="5">
        <f>DM_Giao_vien!A40</f>
        <v/>
      </c>
      <c r="B40" s="6">
        <f>DM_Giao_vien!B40</f>
        <v/>
      </c>
      <c r="C40" s="5">
        <f>DM_Giao_vien!C40</f>
        <v/>
      </c>
      <c r="D40" s="5">
        <f>DM_Giao_vien!H40</f>
        <v/>
      </c>
      <c r="E40" s="5">
        <f>IF($A40="","",SUMIFS(Phan_cong!$J$3:$J$302,Phan_cong!$L$3:$L$302,$A40))</f>
        <v/>
      </c>
      <c r="F40" s="5">
        <f>IF($A40="","",SUMIFS(Phan_cong!$K$3:$K$302,Phan_cong!$O$3:$O$302,$A40))</f>
        <v/>
      </c>
      <c r="G40" s="5">
        <f>IF($A40="","",ROUND($E40/Huong_dan!$B$7,2))</f>
        <v/>
      </c>
      <c r="H40" s="5">
        <f>IF($A40="","",ROUND($F40/Huong_dan!$B$8,2))</f>
        <v/>
      </c>
      <c r="I40" s="5">
        <f>IF($A40="","",ROUND($G40-$D40,2))</f>
        <v/>
      </c>
      <c r="J40" s="6">
        <f>IF($A40="","",ROUND($H40-$D40,2))</f>
        <v/>
      </c>
      <c r="K40" s="6">
        <f>IF($A40="","",$E40+$F40)</f>
        <v/>
      </c>
      <c r="L40" s="6">
        <f>IF($A40="","",COUNTIF(Phan_cong!$L$3:$L$302,$A40))</f>
        <v/>
      </c>
      <c r="M40" s="6">
        <f>IF($A40="","",COUNTIF(Phan_cong!$O$3:$O$302,$A40))</f>
        <v/>
      </c>
      <c r="N40" s="6" t="n"/>
    </row>
    <row r="41">
      <c r="A41" s="5">
        <f>DM_Giao_vien!A41</f>
        <v/>
      </c>
      <c r="B41" s="6">
        <f>DM_Giao_vien!B41</f>
        <v/>
      </c>
      <c r="C41" s="5">
        <f>DM_Giao_vien!C41</f>
        <v/>
      </c>
      <c r="D41" s="5">
        <f>DM_Giao_vien!H41</f>
        <v/>
      </c>
      <c r="E41" s="5">
        <f>IF($A41="","",SUMIFS(Phan_cong!$J$3:$J$302,Phan_cong!$L$3:$L$302,$A41))</f>
        <v/>
      </c>
      <c r="F41" s="5">
        <f>IF($A41="","",SUMIFS(Phan_cong!$K$3:$K$302,Phan_cong!$O$3:$O$302,$A41))</f>
        <v/>
      </c>
      <c r="G41" s="5">
        <f>IF($A41="","",ROUND($E41/Huong_dan!$B$7,2))</f>
        <v/>
      </c>
      <c r="H41" s="5">
        <f>IF($A41="","",ROUND($F41/Huong_dan!$B$8,2))</f>
        <v/>
      </c>
      <c r="I41" s="5">
        <f>IF($A41="","",ROUND($G41-$D41,2))</f>
        <v/>
      </c>
      <c r="J41" s="6">
        <f>IF($A41="","",ROUND($H41-$D41,2))</f>
        <v/>
      </c>
      <c r="K41" s="6">
        <f>IF($A41="","",$E41+$F41)</f>
        <v/>
      </c>
      <c r="L41" s="6">
        <f>IF($A41="","",COUNTIF(Phan_cong!$L$3:$L$302,$A41))</f>
        <v/>
      </c>
      <c r="M41" s="6">
        <f>IF($A41="","",COUNTIF(Phan_cong!$O$3:$O$302,$A41))</f>
        <v/>
      </c>
      <c r="N41" s="6" t="n"/>
    </row>
    <row r="42">
      <c r="A42" s="5">
        <f>DM_Giao_vien!A42</f>
        <v/>
      </c>
      <c r="B42" s="6">
        <f>DM_Giao_vien!B42</f>
        <v/>
      </c>
      <c r="C42" s="5">
        <f>DM_Giao_vien!C42</f>
        <v/>
      </c>
      <c r="D42" s="5">
        <f>DM_Giao_vien!H42</f>
        <v/>
      </c>
      <c r="E42" s="5">
        <f>IF($A42="","",SUMIFS(Phan_cong!$J$3:$J$302,Phan_cong!$L$3:$L$302,$A42))</f>
        <v/>
      </c>
      <c r="F42" s="5">
        <f>IF($A42="","",SUMIFS(Phan_cong!$K$3:$K$302,Phan_cong!$O$3:$O$302,$A42))</f>
        <v/>
      </c>
      <c r="G42" s="5">
        <f>IF($A42="","",ROUND($E42/Huong_dan!$B$7,2))</f>
        <v/>
      </c>
      <c r="H42" s="5">
        <f>IF($A42="","",ROUND($F42/Huong_dan!$B$8,2))</f>
        <v/>
      </c>
      <c r="I42" s="5">
        <f>IF($A42="","",ROUND($G42-$D42,2))</f>
        <v/>
      </c>
      <c r="J42" s="6">
        <f>IF($A42="","",ROUND($H42-$D42,2))</f>
        <v/>
      </c>
      <c r="K42" s="6">
        <f>IF($A42="","",$E42+$F42)</f>
        <v/>
      </c>
      <c r="L42" s="6">
        <f>IF($A42="","",COUNTIF(Phan_cong!$L$3:$L$302,$A42))</f>
        <v/>
      </c>
      <c r="M42" s="6">
        <f>IF($A42="","",COUNTIF(Phan_cong!$O$3:$O$302,$A42))</f>
        <v/>
      </c>
      <c r="N42" s="6" t="n"/>
    </row>
    <row r="43">
      <c r="A43" s="5">
        <f>DM_Giao_vien!A43</f>
        <v/>
      </c>
      <c r="B43" s="6">
        <f>DM_Giao_vien!B43</f>
        <v/>
      </c>
      <c r="C43" s="5">
        <f>DM_Giao_vien!C43</f>
        <v/>
      </c>
      <c r="D43" s="5">
        <f>DM_Giao_vien!H43</f>
        <v/>
      </c>
      <c r="E43" s="5">
        <f>IF($A43="","",SUMIFS(Phan_cong!$J$3:$J$302,Phan_cong!$L$3:$L$302,$A43))</f>
        <v/>
      </c>
      <c r="F43" s="5">
        <f>IF($A43="","",SUMIFS(Phan_cong!$K$3:$K$302,Phan_cong!$O$3:$O$302,$A43))</f>
        <v/>
      </c>
      <c r="G43" s="5">
        <f>IF($A43="","",ROUND($E43/Huong_dan!$B$7,2))</f>
        <v/>
      </c>
      <c r="H43" s="5">
        <f>IF($A43="","",ROUND($F43/Huong_dan!$B$8,2))</f>
        <v/>
      </c>
      <c r="I43" s="5">
        <f>IF($A43="","",ROUND($G43-$D43,2))</f>
        <v/>
      </c>
      <c r="J43" s="6">
        <f>IF($A43="","",ROUND($H43-$D43,2))</f>
        <v/>
      </c>
      <c r="K43" s="6">
        <f>IF($A43="","",$E43+$F43)</f>
        <v/>
      </c>
      <c r="L43" s="6">
        <f>IF($A43="","",COUNTIF(Phan_cong!$L$3:$L$302,$A43))</f>
        <v/>
      </c>
      <c r="M43" s="6">
        <f>IF($A43="","",COUNTIF(Phan_cong!$O$3:$O$302,$A43))</f>
        <v/>
      </c>
      <c r="N43" s="6" t="n"/>
    </row>
    <row r="44">
      <c r="A44" s="5">
        <f>DM_Giao_vien!A44</f>
        <v/>
      </c>
      <c r="B44" s="6">
        <f>DM_Giao_vien!B44</f>
        <v/>
      </c>
      <c r="C44" s="5">
        <f>DM_Giao_vien!C44</f>
        <v/>
      </c>
      <c r="D44" s="5">
        <f>DM_Giao_vien!H44</f>
        <v/>
      </c>
      <c r="E44" s="5">
        <f>IF($A44="","",SUMIFS(Phan_cong!$J$3:$J$302,Phan_cong!$L$3:$L$302,$A44))</f>
        <v/>
      </c>
      <c r="F44" s="5">
        <f>IF($A44="","",SUMIFS(Phan_cong!$K$3:$K$302,Phan_cong!$O$3:$O$302,$A44))</f>
        <v/>
      </c>
      <c r="G44" s="5">
        <f>IF($A44="","",ROUND($E44/Huong_dan!$B$7,2))</f>
        <v/>
      </c>
      <c r="H44" s="5">
        <f>IF($A44="","",ROUND($F44/Huong_dan!$B$8,2))</f>
        <v/>
      </c>
      <c r="I44" s="5">
        <f>IF($A44="","",ROUND($G44-$D44,2))</f>
        <v/>
      </c>
      <c r="J44" s="6">
        <f>IF($A44="","",ROUND($H44-$D44,2))</f>
        <v/>
      </c>
      <c r="K44" s="6">
        <f>IF($A44="","",$E44+$F44)</f>
        <v/>
      </c>
      <c r="L44" s="6">
        <f>IF($A44="","",COUNTIF(Phan_cong!$L$3:$L$302,$A44))</f>
        <v/>
      </c>
      <c r="M44" s="6">
        <f>IF($A44="","",COUNTIF(Phan_cong!$O$3:$O$302,$A44))</f>
        <v/>
      </c>
      <c r="N44" s="6" t="n"/>
    </row>
    <row r="45">
      <c r="A45" s="5">
        <f>DM_Giao_vien!A45</f>
        <v/>
      </c>
      <c r="B45" s="6">
        <f>DM_Giao_vien!B45</f>
        <v/>
      </c>
      <c r="C45" s="5">
        <f>DM_Giao_vien!C45</f>
        <v/>
      </c>
      <c r="D45" s="5">
        <f>DM_Giao_vien!H45</f>
        <v/>
      </c>
      <c r="E45" s="5">
        <f>IF($A45="","",SUMIFS(Phan_cong!$J$3:$J$302,Phan_cong!$L$3:$L$302,$A45))</f>
        <v/>
      </c>
      <c r="F45" s="5">
        <f>IF($A45="","",SUMIFS(Phan_cong!$K$3:$K$302,Phan_cong!$O$3:$O$302,$A45))</f>
        <v/>
      </c>
      <c r="G45" s="5">
        <f>IF($A45="","",ROUND($E45/Huong_dan!$B$7,2))</f>
        <v/>
      </c>
      <c r="H45" s="5">
        <f>IF($A45="","",ROUND($F45/Huong_dan!$B$8,2))</f>
        <v/>
      </c>
      <c r="I45" s="5">
        <f>IF($A45="","",ROUND($G45-$D45,2))</f>
        <v/>
      </c>
      <c r="J45" s="6">
        <f>IF($A45="","",ROUND($H45-$D45,2))</f>
        <v/>
      </c>
      <c r="K45" s="6">
        <f>IF($A45="","",$E45+$F45)</f>
        <v/>
      </c>
      <c r="L45" s="6">
        <f>IF($A45="","",COUNTIF(Phan_cong!$L$3:$L$302,$A45))</f>
        <v/>
      </c>
      <c r="M45" s="6">
        <f>IF($A45="","",COUNTIF(Phan_cong!$O$3:$O$302,$A45))</f>
        <v/>
      </c>
      <c r="N45" s="6" t="n"/>
    </row>
    <row r="46">
      <c r="A46" s="5">
        <f>DM_Giao_vien!A46</f>
        <v/>
      </c>
      <c r="B46" s="6">
        <f>DM_Giao_vien!B46</f>
        <v/>
      </c>
      <c r="C46" s="5">
        <f>DM_Giao_vien!C46</f>
        <v/>
      </c>
      <c r="D46" s="5">
        <f>DM_Giao_vien!H46</f>
        <v/>
      </c>
      <c r="E46" s="5">
        <f>IF($A46="","",SUMIFS(Phan_cong!$J$3:$J$302,Phan_cong!$L$3:$L$302,$A46))</f>
        <v/>
      </c>
      <c r="F46" s="5">
        <f>IF($A46="","",SUMIFS(Phan_cong!$K$3:$K$302,Phan_cong!$O$3:$O$302,$A46))</f>
        <v/>
      </c>
      <c r="G46" s="5">
        <f>IF($A46="","",ROUND($E46/Huong_dan!$B$7,2))</f>
        <v/>
      </c>
      <c r="H46" s="5">
        <f>IF($A46="","",ROUND($F46/Huong_dan!$B$8,2))</f>
        <v/>
      </c>
      <c r="I46" s="5">
        <f>IF($A46="","",ROUND($G46-$D46,2))</f>
        <v/>
      </c>
      <c r="J46" s="6">
        <f>IF($A46="","",ROUND($H46-$D46,2))</f>
        <v/>
      </c>
      <c r="K46" s="6">
        <f>IF($A46="","",$E46+$F46)</f>
        <v/>
      </c>
      <c r="L46" s="6">
        <f>IF($A46="","",COUNTIF(Phan_cong!$L$3:$L$302,$A46))</f>
        <v/>
      </c>
      <c r="M46" s="6">
        <f>IF($A46="","",COUNTIF(Phan_cong!$O$3:$O$302,$A46))</f>
        <v/>
      </c>
      <c r="N46" s="6" t="n"/>
    </row>
    <row r="47">
      <c r="A47" s="5">
        <f>DM_Giao_vien!A47</f>
        <v/>
      </c>
      <c r="B47" s="6">
        <f>DM_Giao_vien!B47</f>
        <v/>
      </c>
      <c r="C47" s="5">
        <f>DM_Giao_vien!C47</f>
        <v/>
      </c>
      <c r="D47" s="5">
        <f>DM_Giao_vien!H47</f>
        <v/>
      </c>
      <c r="E47" s="5">
        <f>IF($A47="","",SUMIFS(Phan_cong!$J$3:$J$302,Phan_cong!$L$3:$L$302,$A47))</f>
        <v/>
      </c>
      <c r="F47" s="5">
        <f>IF($A47="","",SUMIFS(Phan_cong!$K$3:$K$302,Phan_cong!$O$3:$O$302,$A47))</f>
        <v/>
      </c>
      <c r="G47" s="5">
        <f>IF($A47="","",ROUND($E47/Huong_dan!$B$7,2))</f>
        <v/>
      </c>
      <c r="H47" s="5">
        <f>IF($A47="","",ROUND($F47/Huong_dan!$B$8,2))</f>
        <v/>
      </c>
      <c r="I47" s="5">
        <f>IF($A47="","",ROUND($G47-$D47,2))</f>
        <v/>
      </c>
      <c r="J47" s="6">
        <f>IF($A47="","",ROUND($H47-$D47,2))</f>
        <v/>
      </c>
      <c r="K47" s="6">
        <f>IF($A47="","",$E47+$F47)</f>
        <v/>
      </c>
      <c r="L47" s="6">
        <f>IF($A47="","",COUNTIF(Phan_cong!$L$3:$L$302,$A47))</f>
        <v/>
      </c>
      <c r="M47" s="6">
        <f>IF($A47="","",COUNTIF(Phan_cong!$O$3:$O$302,$A47))</f>
        <v/>
      </c>
      <c r="N47" s="6" t="n"/>
    </row>
    <row r="48">
      <c r="A48" s="5">
        <f>DM_Giao_vien!A48</f>
        <v/>
      </c>
      <c r="B48" s="6">
        <f>DM_Giao_vien!B48</f>
        <v/>
      </c>
      <c r="C48" s="5">
        <f>DM_Giao_vien!C48</f>
        <v/>
      </c>
      <c r="D48" s="5">
        <f>DM_Giao_vien!H48</f>
        <v/>
      </c>
      <c r="E48" s="5">
        <f>IF($A48="","",SUMIFS(Phan_cong!$J$3:$J$302,Phan_cong!$L$3:$L$302,$A48))</f>
        <v/>
      </c>
      <c r="F48" s="5">
        <f>IF($A48="","",SUMIFS(Phan_cong!$K$3:$K$302,Phan_cong!$O$3:$O$302,$A48))</f>
        <v/>
      </c>
      <c r="G48" s="5">
        <f>IF($A48="","",ROUND($E48/Huong_dan!$B$7,2))</f>
        <v/>
      </c>
      <c r="H48" s="5">
        <f>IF($A48="","",ROUND($F48/Huong_dan!$B$8,2))</f>
        <v/>
      </c>
      <c r="I48" s="5">
        <f>IF($A48="","",ROUND($G48-$D48,2))</f>
        <v/>
      </c>
      <c r="J48" s="6">
        <f>IF($A48="","",ROUND($H48-$D48,2))</f>
        <v/>
      </c>
      <c r="K48" s="6">
        <f>IF($A48="","",$E48+$F48)</f>
        <v/>
      </c>
      <c r="L48" s="6">
        <f>IF($A48="","",COUNTIF(Phan_cong!$L$3:$L$302,$A48))</f>
        <v/>
      </c>
      <c r="M48" s="6">
        <f>IF($A48="","",COUNTIF(Phan_cong!$O$3:$O$302,$A48))</f>
        <v/>
      </c>
      <c r="N48" s="6" t="n"/>
    </row>
    <row r="49">
      <c r="A49" s="5">
        <f>DM_Giao_vien!A49</f>
        <v/>
      </c>
      <c r="B49" s="6">
        <f>DM_Giao_vien!B49</f>
        <v/>
      </c>
      <c r="C49" s="5">
        <f>DM_Giao_vien!C49</f>
        <v/>
      </c>
      <c r="D49" s="5">
        <f>DM_Giao_vien!H49</f>
        <v/>
      </c>
      <c r="E49" s="5">
        <f>IF($A49="","",SUMIFS(Phan_cong!$J$3:$J$302,Phan_cong!$L$3:$L$302,$A49))</f>
        <v/>
      </c>
      <c r="F49" s="5">
        <f>IF($A49="","",SUMIFS(Phan_cong!$K$3:$K$302,Phan_cong!$O$3:$O$302,$A49))</f>
        <v/>
      </c>
      <c r="G49" s="5">
        <f>IF($A49="","",ROUND($E49/Huong_dan!$B$7,2))</f>
        <v/>
      </c>
      <c r="H49" s="5">
        <f>IF($A49="","",ROUND($F49/Huong_dan!$B$8,2))</f>
        <v/>
      </c>
      <c r="I49" s="5">
        <f>IF($A49="","",ROUND($G49-$D49,2))</f>
        <v/>
      </c>
      <c r="J49" s="6">
        <f>IF($A49="","",ROUND($H49-$D49,2))</f>
        <v/>
      </c>
      <c r="K49" s="6">
        <f>IF($A49="","",$E49+$F49)</f>
        <v/>
      </c>
      <c r="L49" s="6">
        <f>IF($A49="","",COUNTIF(Phan_cong!$L$3:$L$302,$A49))</f>
        <v/>
      </c>
      <c r="M49" s="6">
        <f>IF($A49="","",COUNTIF(Phan_cong!$O$3:$O$302,$A49))</f>
        <v/>
      </c>
      <c r="N49" s="6" t="n"/>
    </row>
    <row r="50">
      <c r="A50" s="5">
        <f>DM_Giao_vien!A50</f>
        <v/>
      </c>
      <c r="B50" s="6">
        <f>DM_Giao_vien!B50</f>
        <v/>
      </c>
      <c r="C50" s="5">
        <f>DM_Giao_vien!C50</f>
        <v/>
      </c>
      <c r="D50" s="5">
        <f>DM_Giao_vien!H50</f>
        <v/>
      </c>
      <c r="E50" s="5">
        <f>IF($A50="","",SUMIFS(Phan_cong!$J$3:$J$302,Phan_cong!$L$3:$L$302,$A50))</f>
        <v/>
      </c>
      <c r="F50" s="5">
        <f>IF($A50="","",SUMIFS(Phan_cong!$K$3:$K$302,Phan_cong!$O$3:$O$302,$A50))</f>
        <v/>
      </c>
      <c r="G50" s="5">
        <f>IF($A50="","",ROUND($E50/Huong_dan!$B$7,2))</f>
        <v/>
      </c>
      <c r="H50" s="5">
        <f>IF($A50="","",ROUND($F50/Huong_dan!$B$8,2))</f>
        <v/>
      </c>
      <c r="I50" s="5">
        <f>IF($A50="","",ROUND($G50-$D50,2))</f>
        <v/>
      </c>
      <c r="J50" s="6">
        <f>IF($A50="","",ROUND($H50-$D50,2))</f>
        <v/>
      </c>
      <c r="K50" s="6">
        <f>IF($A50="","",$E50+$F50)</f>
        <v/>
      </c>
      <c r="L50" s="6">
        <f>IF($A50="","",COUNTIF(Phan_cong!$L$3:$L$302,$A50))</f>
        <v/>
      </c>
      <c r="M50" s="6">
        <f>IF($A50="","",COUNTIF(Phan_cong!$O$3:$O$302,$A50))</f>
        <v/>
      </c>
      <c r="N50" s="6" t="n"/>
    </row>
    <row r="51">
      <c r="A51" s="5">
        <f>DM_Giao_vien!A51</f>
        <v/>
      </c>
      <c r="B51" s="6">
        <f>DM_Giao_vien!B51</f>
        <v/>
      </c>
      <c r="C51" s="5">
        <f>DM_Giao_vien!C51</f>
        <v/>
      </c>
      <c r="D51" s="5">
        <f>DM_Giao_vien!H51</f>
        <v/>
      </c>
      <c r="E51" s="5">
        <f>IF($A51="","",SUMIFS(Phan_cong!$J$3:$J$302,Phan_cong!$L$3:$L$302,$A51))</f>
        <v/>
      </c>
      <c r="F51" s="5">
        <f>IF($A51="","",SUMIFS(Phan_cong!$K$3:$K$302,Phan_cong!$O$3:$O$302,$A51))</f>
        <v/>
      </c>
      <c r="G51" s="5">
        <f>IF($A51="","",ROUND($E51/Huong_dan!$B$7,2))</f>
        <v/>
      </c>
      <c r="H51" s="5">
        <f>IF($A51="","",ROUND($F51/Huong_dan!$B$8,2))</f>
        <v/>
      </c>
      <c r="I51" s="5">
        <f>IF($A51="","",ROUND($G51-$D51,2))</f>
        <v/>
      </c>
      <c r="J51" s="6">
        <f>IF($A51="","",ROUND($H51-$D51,2))</f>
        <v/>
      </c>
      <c r="K51" s="6">
        <f>IF($A51="","",$E51+$F51)</f>
        <v/>
      </c>
      <c r="L51" s="6">
        <f>IF($A51="","",COUNTIF(Phan_cong!$L$3:$L$302,$A51))</f>
        <v/>
      </c>
      <c r="M51" s="6">
        <f>IF($A51="","",COUNTIF(Phan_cong!$O$3:$O$302,$A51))</f>
        <v/>
      </c>
      <c r="N51" s="6" t="n"/>
    </row>
    <row r="52">
      <c r="A52" s="5">
        <f>DM_Giao_vien!A52</f>
        <v/>
      </c>
      <c r="B52" s="6">
        <f>DM_Giao_vien!B52</f>
        <v/>
      </c>
      <c r="C52" s="5">
        <f>DM_Giao_vien!C52</f>
        <v/>
      </c>
      <c r="D52" s="5">
        <f>DM_Giao_vien!H52</f>
        <v/>
      </c>
      <c r="E52" s="5">
        <f>IF($A52="","",SUMIFS(Phan_cong!$J$3:$J$302,Phan_cong!$L$3:$L$302,$A52))</f>
        <v/>
      </c>
      <c r="F52" s="5">
        <f>IF($A52="","",SUMIFS(Phan_cong!$K$3:$K$302,Phan_cong!$O$3:$O$302,$A52))</f>
        <v/>
      </c>
      <c r="G52" s="5">
        <f>IF($A52="","",ROUND($E52/Huong_dan!$B$7,2))</f>
        <v/>
      </c>
      <c r="H52" s="5">
        <f>IF($A52="","",ROUND($F52/Huong_dan!$B$8,2))</f>
        <v/>
      </c>
      <c r="I52" s="5">
        <f>IF($A52="","",ROUND($G52-$D52,2))</f>
        <v/>
      </c>
      <c r="J52" s="6">
        <f>IF($A52="","",ROUND($H52-$D52,2))</f>
        <v/>
      </c>
      <c r="K52" s="6">
        <f>IF($A52="","",$E52+$F52)</f>
        <v/>
      </c>
      <c r="L52" s="6">
        <f>IF($A52="","",COUNTIF(Phan_cong!$L$3:$L$302,$A52))</f>
        <v/>
      </c>
      <c r="M52" s="6">
        <f>IF($A52="","",COUNTIF(Phan_cong!$O$3:$O$302,$A52))</f>
        <v/>
      </c>
      <c r="N52" s="6" t="n"/>
    </row>
    <row r="53">
      <c r="A53" s="5">
        <f>DM_Giao_vien!A53</f>
        <v/>
      </c>
      <c r="B53" s="6">
        <f>DM_Giao_vien!B53</f>
        <v/>
      </c>
      <c r="C53" s="5">
        <f>DM_Giao_vien!C53</f>
        <v/>
      </c>
      <c r="D53" s="5">
        <f>DM_Giao_vien!H53</f>
        <v/>
      </c>
      <c r="E53" s="5">
        <f>IF($A53="","",SUMIFS(Phan_cong!$J$3:$J$302,Phan_cong!$L$3:$L$302,$A53))</f>
        <v/>
      </c>
      <c r="F53" s="5">
        <f>IF($A53="","",SUMIFS(Phan_cong!$K$3:$K$302,Phan_cong!$O$3:$O$302,$A53))</f>
        <v/>
      </c>
      <c r="G53" s="5">
        <f>IF($A53="","",ROUND($E53/Huong_dan!$B$7,2))</f>
        <v/>
      </c>
      <c r="H53" s="5">
        <f>IF($A53="","",ROUND($F53/Huong_dan!$B$8,2))</f>
        <v/>
      </c>
      <c r="I53" s="5">
        <f>IF($A53="","",ROUND($G53-$D53,2))</f>
        <v/>
      </c>
      <c r="J53" s="6">
        <f>IF($A53="","",ROUND($H53-$D53,2))</f>
        <v/>
      </c>
      <c r="K53" s="6">
        <f>IF($A53="","",$E53+$F53)</f>
        <v/>
      </c>
      <c r="L53" s="6">
        <f>IF($A53="","",COUNTIF(Phan_cong!$L$3:$L$302,$A53))</f>
        <v/>
      </c>
      <c r="M53" s="6">
        <f>IF($A53="","",COUNTIF(Phan_cong!$O$3:$O$302,$A53))</f>
        <v/>
      </c>
      <c r="N53" s="6" t="n"/>
    </row>
    <row r="54">
      <c r="A54" s="5">
        <f>DM_Giao_vien!A54</f>
        <v/>
      </c>
      <c r="B54" s="6">
        <f>DM_Giao_vien!B54</f>
        <v/>
      </c>
      <c r="C54" s="5">
        <f>DM_Giao_vien!C54</f>
        <v/>
      </c>
      <c r="D54" s="5">
        <f>DM_Giao_vien!H54</f>
        <v/>
      </c>
      <c r="E54" s="5">
        <f>IF($A54="","",SUMIFS(Phan_cong!$J$3:$J$302,Phan_cong!$L$3:$L$302,$A54))</f>
        <v/>
      </c>
      <c r="F54" s="5">
        <f>IF($A54="","",SUMIFS(Phan_cong!$K$3:$K$302,Phan_cong!$O$3:$O$302,$A54))</f>
        <v/>
      </c>
      <c r="G54" s="5">
        <f>IF($A54="","",ROUND($E54/Huong_dan!$B$7,2))</f>
        <v/>
      </c>
      <c r="H54" s="5">
        <f>IF($A54="","",ROUND($F54/Huong_dan!$B$8,2))</f>
        <v/>
      </c>
      <c r="I54" s="5">
        <f>IF($A54="","",ROUND($G54-$D54,2))</f>
        <v/>
      </c>
      <c r="J54" s="6">
        <f>IF($A54="","",ROUND($H54-$D54,2))</f>
        <v/>
      </c>
      <c r="K54" s="6">
        <f>IF($A54="","",$E54+$F54)</f>
        <v/>
      </c>
      <c r="L54" s="6">
        <f>IF($A54="","",COUNTIF(Phan_cong!$L$3:$L$302,$A54))</f>
        <v/>
      </c>
      <c r="M54" s="6">
        <f>IF($A54="","",COUNTIF(Phan_cong!$O$3:$O$302,$A54))</f>
        <v/>
      </c>
      <c r="N54" s="6" t="n"/>
    </row>
    <row r="55">
      <c r="A55" s="5">
        <f>DM_Giao_vien!A55</f>
        <v/>
      </c>
      <c r="B55" s="6">
        <f>DM_Giao_vien!B55</f>
        <v/>
      </c>
      <c r="C55" s="5">
        <f>DM_Giao_vien!C55</f>
        <v/>
      </c>
      <c r="D55" s="5">
        <f>DM_Giao_vien!H55</f>
        <v/>
      </c>
      <c r="E55" s="5">
        <f>IF($A55="","",SUMIFS(Phan_cong!$J$3:$J$302,Phan_cong!$L$3:$L$302,$A55))</f>
        <v/>
      </c>
      <c r="F55" s="5">
        <f>IF($A55="","",SUMIFS(Phan_cong!$K$3:$K$302,Phan_cong!$O$3:$O$302,$A55))</f>
        <v/>
      </c>
      <c r="G55" s="5">
        <f>IF($A55="","",ROUND($E55/Huong_dan!$B$7,2))</f>
        <v/>
      </c>
      <c r="H55" s="5">
        <f>IF($A55="","",ROUND($F55/Huong_dan!$B$8,2))</f>
        <v/>
      </c>
      <c r="I55" s="5">
        <f>IF($A55="","",ROUND($G55-$D55,2))</f>
        <v/>
      </c>
      <c r="J55" s="6">
        <f>IF($A55="","",ROUND($H55-$D55,2))</f>
        <v/>
      </c>
      <c r="K55" s="6">
        <f>IF($A55="","",$E55+$F55)</f>
        <v/>
      </c>
      <c r="L55" s="6">
        <f>IF($A55="","",COUNTIF(Phan_cong!$L$3:$L$302,$A55))</f>
        <v/>
      </c>
      <c r="M55" s="6">
        <f>IF($A55="","",COUNTIF(Phan_cong!$O$3:$O$302,$A55))</f>
        <v/>
      </c>
      <c r="N55" s="6" t="n"/>
    </row>
    <row r="56">
      <c r="A56" s="5">
        <f>DM_Giao_vien!A56</f>
        <v/>
      </c>
      <c r="B56" s="6">
        <f>DM_Giao_vien!B56</f>
        <v/>
      </c>
      <c r="C56" s="5">
        <f>DM_Giao_vien!C56</f>
        <v/>
      </c>
      <c r="D56" s="5">
        <f>DM_Giao_vien!H56</f>
        <v/>
      </c>
      <c r="E56" s="5">
        <f>IF($A56="","",SUMIFS(Phan_cong!$J$3:$J$302,Phan_cong!$L$3:$L$302,$A56))</f>
        <v/>
      </c>
      <c r="F56" s="5">
        <f>IF($A56="","",SUMIFS(Phan_cong!$K$3:$K$302,Phan_cong!$O$3:$O$302,$A56))</f>
        <v/>
      </c>
      <c r="G56" s="5">
        <f>IF($A56="","",ROUND($E56/Huong_dan!$B$7,2))</f>
        <v/>
      </c>
      <c r="H56" s="5">
        <f>IF($A56="","",ROUND($F56/Huong_dan!$B$8,2))</f>
        <v/>
      </c>
      <c r="I56" s="5">
        <f>IF($A56="","",ROUND($G56-$D56,2))</f>
        <v/>
      </c>
      <c r="J56" s="6">
        <f>IF($A56="","",ROUND($H56-$D56,2))</f>
        <v/>
      </c>
      <c r="K56" s="6">
        <f>IF($A56="","",$E56+$F56)</f>
        <v/>
      </c>
      <c r="L56" s="6">
        <f>IF($A56="","",COUNTIF(Phan_cong!$L$3:$L$302,$A56))</f>
        <v/>
      </c>
      <c r="M56" s="6">
        <f>IF($A56="","",COUNTIF(Phan_cong!$O$3:$O$302,$A56))</f>
        <v/>
      </c>
      <c r="N56" s="6" t="n"/>
    </row>
    <row r="57">
      <c r="A57" s="5">
        <f>DM_Giao_vien!A57</f>
        <v/>
      </c>
      <c r="B57" s="6">
        <f>DM_Giao_vien!B57</f>
        <v/>
      </c>
      <c r="C57" s="5">
        <f>DM_Giao_vien!C57</f>
        <v/>
      </c>
      <c r="D57" s="5">
        <f>DM_Giao_vien!H57</f>
        <v/>
      </c>
      <c r="E57" s="5">
        <f>IF($A57="","",SUMIFS(Phan_cong!$J$3:$J$302,Phan_cong!$L$3:$L$302,$A57))</f>
        <v/>
      </c>
      <c r="F57" s="5">
        <f>IF($A57="","",SUMIFS(Phan_cong!$K$3:$K$302,Phan_cong!$O$3:$O$302,$A57))</f>
        <v/>
      </c>
      <c r="G57" s="5">
        <f>IF($A57="","",ROUND($E57/Huong_dan!$B$7,2))</f>
        <v/>
      </c>
      <c r="H57" s="5">
        <f>IF($A57="","",ROUND($F57/Huong_dan!$B$8,2))</f>
        <v/>
      </c>
      <c r="I57" s="5">
        <f>IF($A57="","",ROUND($G57-$D57,2))</f>
        <v/>
      </c>
      <c r="J57" s="6">
        <f>IF($A57="","",ROUND($H57-$D57,2))</f>
        <v/>
      </c>
      <c r="K57" s="6">
        <f>IF($A57="","",$E57+$F57)</f>
        <v/>
      </c>
      <c r="L57" s="6">
        <f>IF($A57="","",COUNTIF(Phan_cong!$L$3:$L$302,$A57))</f>
        <v/>
      </c>
      <c r="M57" s="6">
        <f>IF($A57="","",COUNTIF(Phan_cong!$O$3:$O$302,$A57))</f>
        <v/>
      </c>
      <c r="N57" s="6" t="n"/>
    </row>
    <row r="58">
      <c r="A58" s="5">
        <f>DM_Giao_vien!A58</f>
        <v/>
      </c>
      <c r="B58" s="6">
        <f>DM_Giao_vien!B58</f>
        <v/>
      </c>
      <c r="C58" s="5">
        <f>DM_Giao_vien!C58</f>
        <v/>
      </c>
      <c r="D58" s="5">
        <f>DM_Giao_vien!H58</f>
        <v/>
      </c>
      <c r="E58" s="5">
        <f>IF($A58="","",SUMIFS(Phan_cong!$J$3:$J$302,Phan_cong!$L$3:$L$302,$A58))</f>
        <v/>
      </c>
      <c r="F58" s="5">
        <f>IF($A58="","",SUMIFS(Phan_cong!$K$3:$K$302,Phan_cong!$O$3:$O$302,$A58))</f>
        <v/>
      </c>
      <c r="G58" s="5">
        <f>IF($A58="","",ROUND($E58/Huong_dan!$B$7,2))</f>
        <v/>
      </c>
      <c r="H58" s="5">
        <f>IF($A58="","",ROUND($F58/Huong_dan!$B$8,2))</f>
        <v/>
      </c>
      <c r="I58" s="5">
        <f>IF($A58="","",ROUND($G58-$D58,2))</f>
        <v/>
      </c>
      <c r="J58" s="6">
        <f>IF($A58="","",ROUND($H58-$D58,2))</f>
        <v/>
      </c>
      <c r="K58" s="6">
        <f>IF($A58="","",$E58+$F58)</f>
        <v/>
      </c>
      <c r="L58" s="6">
        <f>IF($A58="","",COUNTIF(Phan_cong!$L$3:$L$302,$A58))</f>
        <v/>
      </c>
      <c r="M58" s="6">
        <f>IF($A58="","",COUNTIF(Phan_cong!$O$3:$O$302,$A58))</f>
        <v/>
      </c>
      <c r="N58" s="6" t="n"/>
    </row>
    <row r="59">
      <c r="A59" s="5">
        <f>DM_Giao_vien!A59</f>
        <v/>
      </c>
      <c r="B59" s="6">
        <f>DM_Giao_vien!B59</f>
        <v/>
      </c>
      <c r="C59" s="5">
        <f>DM_Giao_vien!C59</f>
        <v/>
      </c>
      <c r="D59" s="5">
        <f>DM_Giao_vien!H59</f>
        <v/>
      </c>
      <c r="E59" s="5">
        <f>IF($A59="","",SUMIFS(Phan_cong!$J$3:$J$302,Phan_cong!$L$3:$L$302,$A59))</f>
        <v/>
      </c>
      <c r="F59" s="5">
        <f>IF($A59="","",SUMIFS(Phan_cong!$K$3:$K$302,Phan_cong!$O$3:$O$302,$A59))</f>
        <v/>
      </c>
      <c r="G59" s="5">
        <f>IF($A59="","",ROUND($E59/Huong_dan!$B$7,2))</f>
        <v/>
      </c>
      <c r="H59" s="5">
        <f>IF($A59="","",ROUND($F59/Huong_dan!$B$8,2))</f>
        <v/>
      </c>
      <c r="I59" s="5">
        <f>IF($A59="","",ROUND($G59-$D59,2))</f>
        <v/>
      </c>
      <c r="J59" s="6">
        <f>IF($A59="","",ROUND($H59-$D59,2))</f>
        <v/>
      </c>
      <c r="K59" s="6">
        <f>IF($A59="","",$E59+$F59)</f>
        <v/>
      </c>
      <c r="L59" s="6">
        <f>IF($A59="","",COUNTIF(Phan_cong!$L$3:$L$302,$A59))</f>
        <v/>
      </c>
      <c r="M59" s="6">
        <f>IF($A59="","",COUNTIF(Phan_cong!$O$3:$O$302,$A59))</f>
        <v/>
      </c>
      <c r="N59" s="6" t="n"/>
    </row>
    <row r="60">
      <c r="A60" s="5">
        <f>DM_Giao_vien!A60</f>
        <v/>
      </c>
      <c r="B60" s="6">
        <f>DM_Giao_vien!B60</f>
        <v/>
      </c>
      <c r="C60" s="5">
        <f>DM_Giao_vien!C60</f>
        <v/>
      </c>
      <c r="D60" s="5">
        <f>DM_Giao_vien!H60</f>
        <v/>
      </c>
      <c r="E60" s="5">
        <f>IF($A60="","",SUMIFS(Phan_cong!$J$3:$J$302,Phan_cong!$L$3:$L$302,$A60))</f>
        <v/>
      </c>
      <c r="F60" s="5">
        <f>IF($A60="","",SUMIFS(Phan_cong!$K$3:$K$302,Phan_cong!$O$3:$O$302,$A60))</f>
        <v/>
      </c>
      <c r="G60" s="5">
        <f>IF($A60="","",ROUND($E60/Huong_dan!$B$7,2))</f>
        <v/>
      </c>
      <c r="H60" s="5">
        <f>IF($A60="","",ROUND($F60/Huong_dan!$B$8,2))</f>
        <v/>
      </c>
      <c r="I60" s="5">
        <f>IF($A60="","",ROUND($G60-$D60,2))</f>
        <v/>
      </c>
      <c r="J60" s="6">
        <f>IF($A60="","",ROUND($H60-$D60,2))</f>
        <v/>
      </c>
      <c r="K60" s="6">
        <f>IF($A60="","",$E60+$F60)</f>
        <v/>
      </c>
      <c r="L60" s="6">
        <f>IF($A60="","",COUNTIF(Phan_cong!$L$3:$L$302,$A60))</f>
        <v/>
      </c>
      <c r="M60" s="6">
        <f>IF($A60="","",COUNTIF(Phan_cong!$O$3:$O$302,$A60))</f>
        <v/>
      </c>
      <c r="N60" s="6" t="n"/>
    </row>
    <row r="61">
      <c r="A61" s="5">
        <f>DM_Giao_vien!A61</f>
        <v/>
      </c>
      <c r="B61" s="6">
        <f>DM_Giao_vien!B61</f>
        <v/>
      </c>
      <c r="C61" s="5">
        <f>DM_Giao_vien!C61</f>
        <v/>
      </c>
      <c r="D61" s="5">
        <f>DM_Giao_vien!H61</f>
        <v/>
      </c>
      <c r="E61" s="5">
        <f>IF($A61="","",SUMIFS(Phan_cong!$J$3:$J$302,Phan_cong!$L$3:$L$302,$A61))</f>
        <v/>
      </c>
      <c r="F61" s="5">
        <f>IF($A61="","",SUMIFS(Phan_cong!$K$3:$K$302,Phan_cong!$O$3:$O$302,$A61))</f>
        <v/>
      </c>
      <c r="G61" s="5">
        <f>IF($A61="","",ROUND($E61/Huong_dan!$B$7,2))</f>
        <v/>
      </c>
      <c r="H61" s="5">
        <f>IF($A61="","",ROUND($F61/Huong_dan!$B$8,2))</f>
        <v/>
      </c>
      <c r="I61" s="5">
        <f>IF($A61="","",ROUND($G61-$D61,2))</f>
        <v/>
      </c>
      <c r="J61" s="6">
        <f>IF($A61="","",ROUND($H61-$D61,2))</f>
        <v/>
      </c>
      <c r="K61" s="6">
        <f>IF($A61="","",$E61+$F61)</f>
        <v/>
      </c>
      <c r="L61" s="6">
        <f>IF($A61="","",COUNTIF(Phan_cong!$L$3:$L$302,$A61))</f>
        <v/>
      </c>
      <c r="M61" s="6">
        <f>IF($A61="","",COUNTIF(Phan_cong!$O$3:$O$302,$A61))</f>
        <v/>
      </c>
      <c r="N61" s="6" t="n"/>
    </row>
    <row r="62">
      <c r="A62" s="5">
        <f>DM_Giao_vien!A62</f>
        <v/>
      </c>
      <c r="B62" s="6">
        <f>DM_Giao_vien!B62</f>
        <v/>
      </c>
      <c r="C62" s="5">
        <f>DM_Giao_vien!C62</f>
        <v/>
      </c>
      <c r="D62" s="5">
        <f>DM_Giao_vien!H62</f>
        <v/>
      </c>
      <c r="E62" s="5">
        <f>IF($A62="","",SUMIFS(Phan_cong!$J$3:$J$302,Phan_cong!$L$3:$L$302,$A62))</f>
        <v/>
      </c>
      <c r="F62" s="5">
        <f>IF($A62="","",SUMIFS(Phan_cong!$K$3:$K$302,Phan_cong!$O$3:$O$302,$A62))</f>
        <v/>
      </c>
      <c r="G62" s="5">
        <f>IF($A62="","",ROUND($E62/Huong_dan!$B$7,2))</f>
        <v/>
      </c>
      <c r="H62" s="5">
        <f>IF($A62="","",ROUND($F62/Huong_dan!$B$8,2))</f>
        <v/>
      </c>
      <c r="I62" s="5">
        <f>IF($A62="","",ROUND($G62-$D62,2))</f>
        <v/>
      </c>
      <c r="J62" s="6">
        <f>IF($A62="","",ROUND($H62-$D62,2))</f>
        <v/>
      </c>
      <c r="K62" s="6">
        <f>IF($A62="","",$E62+$F62)</f>
        <v/>
      </c>
      <c r="L62" s="6">
        <f>IF($A62="","",COUNTIF(Phan_cong!$L$3:$L$302,$A62))</f>
        <v/>
      </c>
      <c r="M62" s="6">
        <f>IF($A62="","",COUNTIF(Phan_cong!$O$3:$O$302,$A62))</f>
        <v/>
      </c>
      <c r="N62" s="6" t="n"/>
    </row>
    <row r="63">
      <c r="A63" s="5">
        <f>DM_Giao_vien!A63</f>
        <v/>
      </c>
      <c r="B63" s="6">
        <f>DM_Giao_vien!B63</f>
        <v/>
      </c>
      <c r="C63" s="5">
        <f>DM_Giao_vien!C63</f>
        <v/>
      </c>
      <c r="D63" s="5">
        <f>DM_Giao_vien!H63</f>
        <v/>
      </c>
      <c r="E63" s="5">
        <f>IF($A63="","",SUMIFS(Phan_cong!$J$3:$J$302,Phan_cong!$L$3:$L$302,$A63))</f>
        <v/>
      </c>
      <c r="F63" s="5">
        <f>IF($A63="","",SUMIFS(Phan_cong!$K$3:$K$302,Phan_cong!$O$3:$O$302,$A63))</f>
        <v/>
      </c>
      <c r="G63" s="5">
        <f>IF($A63="","",ROUND($E63/Huong_dan!$B$7,2))</f>
        <v/>
      </c>
      <c r="H63" s="5">
        <f>IF($A63="","",ROUND($F63/Huong_dan!$B$8,2))</f>
        <v/>
      </c>
      <c r="I63" s="5">
        <f>IF($A63="","",ROUND($G63-$D63,2))</f>
        <v/>
      </c>
      <c r="J63" s="6">
        <f>IF($A63="","",ROUND($H63-$D63,2))</f>
        <v/>
      </c>
      <c r="K63" s="6">
        <f>IF($A63="","",$E63+$F63)</f>
        <v/>
      </c>
      <c r="L63" s="6">
        <f>IF($A63="","",COUNTIF(Phan_cong!$L$3:$L$302,$A63))</f>
        <v/>
      </c>
      <c r="M63" s="6">
        <f>IF($A63="","",COUNTIF(Phan_cong!$O$3:$O$302,$A63))</f>
        <v/>
      </c>
      <c r="N63" s="6" t="n"/>
    </row>
    <row r="64">
      <c r="A64" s="5">
        <f>DM_Giao_vien!A64</f>
        <v/>
      </c>
      <c r="B64" s="6">
        <f>DM_Giao_vien!B64</f>
        <v/>
      </c>
      <c r="C64" s="5">
        <f>DM_Giao_vien!C64</f>
        <v/>
      </c>
      <c r="D64" s="5">
        <f>DM_Giao_vien!H64</f>
        <v/>
      </c>
      <c r="E64" s="5">
        <f>IF($A64="","",SUMIFS(Phan_cong!$J$3:$J$302,Phan_cong!$L$3:$L$302,$A64))</f>
        <v/>
      </c>
      <c r="F64" s="5">
        <f>IF($A64="","",SUMIFS(Phan_cong!$K$3:$K$302,Phan_cong!$O$3:$O$302,$A64))</f>
        <v/>
      </c>
      <c r="G64" s="5">
        <f>IF($A64="","",ROUND($E64/Huong_dan!$B$7,2))</f>
        <v/>
      </c>
      <c r="H64" s="5">
        <f>IF($A64="","",ROUND($F64/Huong_dan!$B$8,2))</f>
        <v/>
      </c>
      <c r="I64" s="5">
        <f>IF($A64="","",ROUND($G64-$D64,2))</f>
        <v/>
      </c>
      <c r="J64" s="6">
        <f>IF($A64="","",ROUND($H64-$D64,2))</f>
        <v/>
      </c>
      <c r="K64" s="6">
        <f>IF($A64="","",$E64+$F64)</f>
        <v/>
      </c>
      <c r="L64" s="6">
        <f>IF($A64="","",COUNTIF(Phan_cong!$L$3:$L$302,$A64))</f>
        <v/>
      </c>
      <c r="M64" s="6">
        <f>IF($A64="","",COUNTIF(Phan_cong!$O$3:$O$302,$A64))</f>
        <v/>
      </c>
      <c r="N64" s="6" t="n"/>
    </row>
    <row r="65">
      <c r="A65" s="5">
        <f>DM_Giao_vien!A65</f>
        <v/>
      </c>
      <c r="B65" s="6">
        <f>DM_Giao_vien!B65</f>
        <v/>
      </c>
      <c r="C65" s="5">
        <f>DM_Giao_vien!C65</f>
        <v/>
      </c>
      <c r="D65" s="5">
        <f>DM_Giao_vien!H65</f>
        <v/>
      </c>
      <c r="E65" s="5">
        <f>IF($A65="","",SUMIFS(Phan_cong!$J$3:$J$302,Phan_cong!$L$3:$L$302,$A65))</f>
        <v/>
      </c>
      <c r="F65" s="5">
        <f>IF($A65="","",SUMIFS(Phan_cong!$K$3:$K$302,Phan_cong!$O$3:$O$302,$A65))</f>
        <v/>
      </c>
      <c r="G65" s="5">
        <f>IF($A65="","",ROUND($E65/Huong_dan!$B$7,2))</f>
        <v/>
      </c>
      <c r="H65" s="5">
        <f>IF($A65="","",ROUND($F65/Huong_dan!$B$8,2))</f>
        <v/>
      </c>
      <c r="I65" s="5">
        <f>IF($A65="","",ROUND($G65-$D65,2))</f>
        <v/>
      </c>
      <c r="J65" s="6">
        <f>IF($A65="","",ROUND($H65-$D65,2))</f>
        <v/>
      </c>
      <c r="K65" s="6">
        <f>IF($A65="","",$E65+$F65)</f>
        <v/>
      </c>
      <c r="L65" s="6">
        <f>IF($A65="","",COUNTIF(Phan_cong!$L$3:$L$302,$A65))</f>
        <v/>
      </c>
      <c r="M65" s="6">
        <f>IF($A65="","",COUNTIF(Phan_cong!$O$3:$O$302,$A65))</f>
        <v/>
      </c>
      <c r="N65" s="6" t="n"/>
    </row>
    <row r="66">
      <c r="A66" s="5">
        <f>DM_Giao_vien!A66</f>
        <v/>
      </c>
      <c r="B66" s="6">
        <f>DM_Giao_vien!B66</f>
        <v/>
      </c>
      <c r="C66" s="5">
        <f>DM_Giao_vien!C66</f>
        <v/>
      </c>
      <c r="D66" s="5">
        <f>DM_Giao_vien!H66</f>
        <v/>
      </c>
      <c r="E66" s="5">
        <f>IF($A66="","",SUMIFS(Phan_cong!$J$3:$J$302,Phan_cong!$L$3:$L$302,$A66))</f>
        <v/>
      </c>
      <c r="F66" s="5">
        <f>IF($A66="","",SUMIFS(Phan_cong!$K$3:$K$302,Phan_cong!$O$3:$O$302,$A66))</f>
        <v/>
      </c>
      <c r="G66" s="5">
        <f>IF($A66="","",ROUND($E66/Huong_dan!$B$7,2))</f>
        <v/>
      </c>
      <c r="H66" s="5">
        <f>IF($A66="","",ROUND($F66/Huong_dan!$B$8,2))</f>
        <v/>
      </c>
      <c r="I66" s="5">
        <f>IF($A66="","",ROUND($G66-$D66,2))</f>
        <v/>
      </c>
      <c r="J66" s="6">
        <f>IF($A66="","",ROUND($H66-$D66,2))</f>
        <v/>
      </c>
      <c r="K66" s="6">
        <f>IF($A66="","",$E66+$F66)</f>
        <v/>
      </c>
      <c r="L66" s="6">
        <f>IF($A66="","",COUNTIF(Phan_cong!$L$3:$L$302,$A66))</f>
        <v/>
      </c>
      <c r="M66" s="6">
        <f>IF($A66="","",COUNTIF(Phan_cong!$O$3:$O$302,$A66))</f>
        <v/>
      </c>
      <c r="N66" s="6" t="n"/>
    </row>
    <row r="67">
      <c r="A67" s="5">
        <f>DM_Giao_vien!A67</f>
        <v/>
      </c>
      <c r="B67" s="6">
        <f>DM_Giao_vien!B67</f>
        <v/>
      </c>
      <c r="C67" s="5">
        <f>DM_Giao_vien!C67</f>
        <v/>
      </c>
      <c r="D67" s="5">
        <f>DM_Giao_vien!H67</f>
        <v/>
      </c>
      <c r="E67" s="5">
        <f>IF($A67="","",SUMIFS(Phan_cong!$J$3:$J$302,Phan_cong!$L$3:$L$302,$A67))</f>
        <v/>
      </c>
      <c r="F67" s="5">
        <f>IF($A67="","",SUMIFS(Phan_cong!$K$3:$K$302,Phan_cong!$O$3:$O$302,$A67))</f>
        <v/>
      </c>
      <c r="G67" s="5">
        <f>IF($A67="","",ROUND($E67/Huong_dan!$B$7,2))</f>
        <v/>
      </c>
      <c r="H67" s="5">
        <f>IF($A67="","",ROUND($F67/Huong_dan!$B$8,2))</f>
        <v/>
      </c>
      <c r="I67" s="5">
        <f>IF($A67="","",ROUND($G67-$D67,2))</f>
        <v/>
      </c>
      <c r="J67" s="6">
        <f>IF($A67="","",ROUND($H67-$D67,2))</f>
        <v/>
      </c>
      <c r="K67" s="6">
        <f>IF($A67="","",$E67+$F67)</f>
        <v/>
      </c>
      <c r="L67" s="6">
        <f>IF($A67="","",COUNTIF(Phan_cong!$L$3:$L$302,$A67))</f>
        <v/>
      </c>
      <c r="M67" s="6">
        <f>IF($A67="","",COUNTIF(Phan_cong!$O$3:$O$302,$A67))</f>
        <v/>
      </c>
      <c r="N67" s="6" t="n"/>
    </row>
    <row r="68">
      <c r="A68" s="5">
        <f>DM_Giao_vien!A68</f>
        <v/>
      </c>
      <c r="B68" s="6">
        <f>DM_Giao_vien!B68</f>
        <v/>
      </c>
      <c r="C68" s="5">
        <f>DM_Giao_vien!C68</f>
        <v/>
      </c>
      <c r="D68" s="5">
        <f>DM_Giao_vien!H68</f>
        <v/>
      </c>
      <c r="E68" s="5">
        <f>IF($A68="","",SUMIFS(Phan_cong!$J$3:$J$302,Phan_cong!$L$3:$L$302,$A68))</f>
        <v/>
      </c>
      <c r="F68" s="5">
        <f>IF($A68="","",SUMIFS(Phan_cong!$K$3:$K$302,Phan_cong!$O$3:$O$302,$A68))</f>
        <v/>
      </c>
      <c r="G68" s="5">
        <f>IF($A68="","",ROUND($E68/Huong_dan!$B$7,2))</f>
        <v/>
      </c>
      <c r="H68" s="5">
        <f>IF($A68="","",ROUND($F68/Huong_dan!$B$8,2))</f>
        <v/>
      </c>
      <c r="I68" s="5">
        <f>IF($A68="","",ROUND($G68-$D68,2))</f>
        <v/>
      </c>
      <c r="J68" s="6">
        <f>IF($A68="","",ROUND($H68-$D68,2))</f>
        <v/>
      </c>
      <c r="K68" s="6">
        <f>IF($A68="","",$E68+$F68)</f>
        <v/>
      </c>
      <c r="L68" s="6">
        <f>IF($A68="","",COUNTIF(Phan_cong!$L$3:$L$302,$A68))</f>
        <v/>
      </c>
      <c r="M68" s="6">
        <f>IF($A68="","",COUNTIF(Phan_cong!$O$3:$O$302,$A68))</f>
        <v/>
      </c>
      <c r="N68" s="6" t="n"/>
    </row>
    <row r="69">
      <c r="A69" s="5">
        <f>DM_Giao_vien!A69</f>
        <v/>
      </c>
      <c r="B69" s="6">
        <f>DM_Giao_vien!B69</f>
        <v/>
      </c>
      <c r="C69" s="5">
        <f>DM_Giao_vien!C69</f>
        <v/>
      </c>
      <c r="D69" s="5">
        <f>DM_Giao_vien!H69</f>
        <v/>
      </c>
      <c r="E69" s="5">
        <f>IF($A69="","",SUMIFS(Phan_cong!$J$3:$J$302,Phan_cong!$L$3:$L$302,$A69))</f>
        <v/>
      </c>
      <c r="F69" s="5">
        <f>IF($A69="","",SUMIFS(Phan_cong!$K$3:$K$302,Phan_cong!$O$3:$O$302,$A69))</f>
        <v/>
      </c>
      <c r="G69" s="5">
        <f>IF($A69="","",ROUND($E69/Huong_dan!$B$7,2))</f>
        <v/>
      </c>
      <c r="H69" s="5">
        <f>IF($A69="","",ROUND($F69/Huong_dan!$B$8,2))</f>
        <v/>
      </c>
      <c r="I69" s="5">
        <f>IF($A69="","",ROUND($G69-$D69,2))</f>
        <v/>
      </c>
      <c r="J69" s="6">
        <f>IF($A69="","",ROUND($H69-$D69,2))</f>
        <v/>
      </c>
      <c r="K69" s="6">
        <f>IF($A69="","",$E69+$F69)</f>
        <v/>
      </c>
      <c r="L69" s="6">
        <f>IF($A69="","",COUNTIF(Phan_cong!$L$3:$L$302,$A69))</f>
        <v/>
      </c>
      <c r="M69" s="6">
        <f>IF($A69="","",COUNTIF(Phan_cong!$O$3:$O$302,$A69))</f>
        <v/>
      </c>
      <c r="N69" s="6" t="n"/>
    </row>
    <row r="70">
      <c r="A70" s="5">
        <f>DM_Giao_vien!A70</f>
        <v/>
      </c>
      <c r="B70" s="6">
        <f>DM_Giao_vien!B70</f>
        <v/>
      </c>
      <c r="C70" s="5">
        <f>DM_Giao_vien!C70</f>
        <v/>
      </c>
      <c r="D70" s="5">
        <f>DM_Giao_vien!H70</f>
        <v/>
      </c>
      <c r="E70" s="5">
        <f>IF($A70="","",SUMIFS(Phan_cong!$J$3:$J$302,Phan_cong!$L$3:$L$302,$A70))</f>
        <v/>
      </c>
      <c r="F70" s="5">
        <f>IF($A70="","",SUMIFS(Phan_cong!$K$3:$K$302,Phan_cong!$O$3:$O$302,$A70))</f>
        <v/>
      </c>
      <c r="G70" s="5">
        <f>IF($A70="","",ROUND($E70/Huong_dan!$B$7,2))</f>
        <v/>
      </c>
      <c r="H70" s="5">
        <f>IF($A70="","",ROUND($F70/Huong_dan!$B$8,2))</f>
        <v/>
      </c>
      <c r="I70" s="5">
        <f>IF($A70="","",ROUND($G70-$D70,2))</f>
        <v/>
      </c>
      <c r="J70" s="6">
        <f>IF($A70="","",ROUND($H70-$D70,2))</f>
        <v/>
      </c>
      <c r="K70" s="6">
        <f>IF($A70="","",$E70+$F70)</f>
        <v/>
      </c>
      <c r="L70" s="6">
        <f>IF($A70="","",COUNTIF(Phan_cong!$L$3:$L$302,$A70))</f>
        <v/>
      </c>
      <c r="M70" s="6">
        <f>IF($A70="","",COUNTIF(Phan_cong!$O$3:$O$302,$A70))</f>
        <v/>
      </c>
      <c r="N70" s="6" t="n"/>
    </row>
    <row r="71">
      <c r="A71" s="5">
        <f>DM_Giao_vien!A71</f>
        <v/>
      </c>
      <c r="B71" s="6">
        <f>DM_Giao_vien!B71</f>
        <v/>
      </c>
      <c r="C71" s="5">
        <f>DM_Giao_vien!C71</f>
        <v/>
      </c>
      <c r="D71" s="5">
        <f>DM_Giao_vien!H71</f>
        <v/>
      </c>
      <c r="E71" s="5">
        <f>IF($A71="","",SUMIFS(Phan_cong!$J$3:$J$302,Phan_cong!$L$3:$L$302,$A71))</f>
        <v/>
      </c>
      <c r="F71" s="5">
        <f>IF($A71="","",SUMIFS(Phan_cong!$K$3:$K$302,Phan_cong!$O$3:$O$302,$A71))</f>
        <v/>
      </c>
      <c r="G71" s="5">
        <f>IF($A71="","",ROUND($E71/Huong_dan!$B$7,2))</f>
        <v/>
      </c>
      <c r="H71" s="5">
        <f>IF($A71="","",ROUND($F71/Huong_dan!$B$8,2))</f>
        <v/>
      </c>
      <c r="I71" s="5">
        <f>IF($A71="","",ROUND($G71-$D71,2))</f>
        <v/>
      </c>
      <c r="J71" s="6">
        <f>IF($A71="","",ROUND($H71-$D71,2))</f>
        <v/>
      </c>
      <c r="K71" s="6">
        <f>IF($A71="","",$E71+$F71)</f>
        <v/>
      </c>
      <c r="L71" s="6">
        <f>IF($A71="","",COUNTIF(Phan_cong!$L$3:$L$302,$A71))</f>
        <v/>
      </c>
      <c r="M71" s="6">
        <f>IF($A71="","",COUNTIF(Phan_cong!$O$3:$O$302,$A71))</f>
        <v/>
      </c>
      <c r="N71" s="6" t="n"/>
    </row>
    <row r="72">
      <c r="A72" s="5">
        <f>DM_Giao_vien!A72</f>
        <v/>
      </c>
      <c r="B72" s="6">
        <f>DM_Giao_vien!B72</f>
        <v/>
      </c>
      <c r="C72" s="5">
        <f>DM_Giao_vien!C72</f>
        <v/>
      </c>
      <c r="D72" s="5">
        <f>DM_Giao_vien!H72</f>
        <v/>
      </c>
      <c r="E72" s="5">
        <f>IF($A72="","",SUMIFS(Phan_cong!$J$3:$J$302,Phan_cong!$L$3:$L$302,$A72))</f>
        <v/>
      </c>
      <c r="F72" s="5">
        <f>IF($A72="","",SUMIFS(Phan_cong!$K$3:$K$302,Phan_cong!$O$3:$O$302,$A72))</f>
        <v/>
      </c>
      <c r="G72" s="5">
        <f>IF($A72="","",ROUND($E72/Huong_dan!$B$7,2))</f>
        <v/>
      </c>
      <c r="H72" s="5">
        <f>IF($A72="","",ROUND($F72/Huong_dan!$B$8,2))</f>
        <v/>
      </c>
      <c r="I72" s="5">
        <f>IF($A72="","",ROUND($G72-$D72,2))</f>
        <v/>
      </c>
      <c r="J72" s="6">
        <f>IF($A72="","",ROUND($H72-$D72,2))</f>
        <v/>
      </c>
      <c r="K72" s="6">
        <f>IF($A72="","",$E72+$F72)</f>
        <v/>
      </c>
      <c r="L72" s="6">
        <f>IF($A72="","",COUNTIF(Phan_cong!$L$3:$L$302,$A72))</f>
        <v/>
      </c>
      <c r="M72" s="6">
        <f>IF($A72="","",COUNTIF(Phan_cong!$O$3:$O$302,$A72))</f>
        <v/>
      </c>
      <c r="N72" s="6" t="n"/>
    </row>
    <row r="73">
      <c r="A73" s="5">
        <f>DM_Giao_vien!A73</f>
        <v/>
      </c>
      <c r="B73" s="6">
        <f>DM_Giao_vien!B73</f>
        <v/>
      </c>
      <c r="C73" s="5">
        <f>DM_Giao_vien!C73</f>
        <v/>
      </c>
      <c r="D73" s="5">
        <f>DM_Giao_vien!H73</f>
        <v/>
      </c>
      <c r="E73" s="5">
        <f>IF($A73="","",SUMIFS(Phan_cong!$J$3:$J$302,Phan_cong!$L$3:$L$302,$A73))</f>
        <v/>
      </c>
      <c r="F73" s="5">
        <f>IF($A73="","",SUMIFS(Phan_cong!$K$3:$K$302,Phan_cong!$O$3:$O$302,$A73))</f>
        <v/>
      </c>
      <c r="G73" s="5">
        <f>IF($A73="","",ROUND($E73/Huong_dan!$B$7,2))</f>
        <v/>
      </c>
      <c r="H73" s="5">
        <f>IF($A73="","",ROUND($F73/Huong_dan!$B$8,2))</f>
        <v/>
      </c>
      <c r="I73" s="5">
        <f>IF($A73="","",ROUND($G73-$D73,2))</f>
        <v/>
      </c>
      <c r="J73" s="6">
        <f>IF($A73="","",ROUND($H73-$D73,2))</f>
        <v/>
      </c>
      <c r="K73" s="6">
        <f>IF($A73="","",$E73+$F73)</f>
        <v/>
      </c>
      <c r="L73" s="6">
        <f>IF($A73="","",COUNTIF(Phan_cong!$L$3:$L$302,$A73))</f>
        <v/>
      </c>
      <c r="M73" s="6">
        <f>IF($A73="","",COUNTIF(Phan_cong!$O$3:$O$302,$A73))</f>
        <v/>
      </c>
      <c r="N73" s="6" t="n"/>
    </row>
    <row r="74">
      <c r="A74" s="5">
        <f>DM_Giao_vien!A74</f>
        <v/>
      </c>
      <c r="B74" s="6">
        <f>DM_Giao_vien!B74</f>
        <v/>
      </c>
      <c r="C74" s="5">
        <f>DM_Giao_vien!C74</f>
        <v/>
      </c>
      <c r="D74" s="5">
        <f>DM_Giao_vien!H74</f>
        <v/>
      </c>
      <c r="E74" s="5">
        <f>IF($A74="","",SUMIFS(Phan_cong!$J$3:$J$302,Phan_cong!$L$3:$L$302,$A74))</f>
        <v/>
      </c>
      <c r="F74" s="5">
        <f>IF($A74="","",SUMIFS(Phan_cong!$K$3:$K$302,Phan_cong!$O$3:$O$302,$A74))</f>
        <v/>
      </c>
      <c r="G74" s="5">
        <f>IF($A74="","",ROUND($E74/Huong_dan!$B$7,2))</f>
        <v/>
      </c>
      <c r="H74" s="5">
        <f>IF($A74="","",ROUND($F74/Huong_dan!$B$8,2))</f>
        <v/>
      </c>
      <c r="I74" s="5">
        <f>IF($A74="","",ROUND($G74-$D74,2))</f>
        <v/>
      </c>
      <c r="J74" s="6">
        <f>IF($A74="","",ROUND($H74-$D74,2))</f>
        <v/>
      </c>
      <c r="K74" s="6">
        <f>IF($A74="","",$E74+$F74)</f>
        <v/>
      </c>
      <c r="L74" s="6">
        <f>IF($A74="","",COUNTIF(Phan_cong!$L$3:$L$302,$A74))</f>
        <v/>
      </c>
      <c r="M74" s="6">
        <f>IF($A74="","",COUNTIF(Phan_cong!$O$3:$O$302,$A74))</f>
        <v/>
      </c>
      <c r="N74" s="6" t="n"/>
    </row>
    <row r="75">
      <c r="A75" s="5">
        <f>DM_Giao_vien!A75</f>
        <v/>
      </c>
      <c r="B75" s="6">
        <f>DM_Giao_vien!B75</f>
        <v/>
      </c>
      <c r="C75" s="5">
        <f>DM_Giao_vien!C75</f>
        <v/>
      </c>
      <c r="D75" s="5">
        <f>DM_Giao_vien!H75</f>
        <v/>
      </c>
      <c r="E75" s="5">
        <f>IF($A75="","",SUMIFS(Phan_cong!$J$3:$J$302,Phan_cong!$L$3:$L$302,$A75))</f>
        <v/>
      </c>
      <c r="F75" s="5">
        <f>IF($A75="","",SUMIFS(Phan_cong!$K$3:$K$302,Phan_cong!$O$3:$O$302,$A75))</f>
        <v/>
      </c>
      <c r="G75" s="5">
        <f>IF($A75="","",ROUND($E75/Huong_dan!$B$7,2))</f>
        <v/>
      </c>
      <c r="H75" s="5">
        <f>IF($A75="","",ROUND($F75/Huong_dan!$B$8,2))</f>
        <v/>
      </c>
      <c r="I75" s="5">
        <f>IF($A75="","",ROUND($G75-$D75,2))</f>
        <v/>
      </c>
      <c r="J75" s="6">
        <f>IF($A75="","",ROUND($H75-$D75,2))</f>
        <v/>
      </c>
      <c r="K75" s="6">
        <f>IF($A75="","",$E75+$F75)</f>
        <v/>
      </c>
      <c r="L75" s="6">
        <f>IF($A75="","",COUNTIF(Phan_cong!$L$3:$L$302,$A75))</f>
        <v/>
      </c>
      <c r="M75" s="6">
        <f>IF($A75="","",COUNTIF(Phan_cong!$O$3:$O$302,$A75))</f>
        <v/>
      </c>
      <c r="N75" s="6" t="n"/>
    </row>
    <row r="76">
      <c r="A76" s="5">
        <f>DM_Giao_vien!A76</f>
        <v/>
      </c>
      <c r="B76" s="6">
        <f>DM_Giao_vien!B76</f>
        <v/>
      </c>
      <c r="C76" s="5">
        <f>DM_Giao_vien!C76</f>
        <v/>
      </c>
      <c r="D76" s="5">
        <f>DM_Giao_vien!H76</f>
        <v/>
      </c>
      <c r="E76" s="5">
        <f>IF($A76="","",SUMIFS(Phan_cong!$J$3:$J$302,Phan_cong!$L$3:$L$302,$A76))</f>
        <v/>
      </c>
      <c r="F76" s="5">
        <f>IF($A76="","",SUMIFS(Phan_cong!$K$3:$K$302,Phan_cong!$O$3:$O$302,$A76))</f>
        <v/>
      </c>
      <c r="G76" s="5">
        <f>IF($A76="","",ROUND($E76/Huong_dan!$B$7,2))</f>
        <v/>
      </c>
      <c r="H76" s="5">
        <f>IF($A76="","",ROUND($F76/Huong_dan!$B$8,2))</f>
        <v/>
      </c>
      <c r="I76" s="5">
        <f>IF($A76="","",ROUND($G76-$D76,2))</f>
        <v/>
      </c>
      <c r="J76" s="6">
        <f>IF($A76="","",ROUND($H76-$D76,2))</f>
        <v/>
      </c>
      <c r="K76" s="6">
        <f>IF($A76="","",$E76+$F76)</f>
        <v/>
      </c>
      <c r="L76" s="6">
        <f>IF($A76="","",COUNTIF(Phan_cong!$L$3:$L$302,$A76))</f>
        <v/>
      </c>
      <c r="M76" s="6">
        <f>IF($A76="","",COUNTIF(Phan_cong!$O$3:$O$302,$A76))</f>
        <v/>
      </c>
      <c r="N76" s="6" t="n"/>
    </row>
    <row r="77">
      <c r="A77" s="5">
        <f>DM_Giao_vien!A77</f>
        <v/>
      </c>
      <c r="B77" s="6">
        <f>DM_Giao_vien!B77</f>
        <v/>
      </c>
      <c r="C77" s="5">
        <f>DM_Giao_vien!C77</f>
        <v/>
      </c>
      <c r="D77" s="5">
        <f>DM_Giao_vien!H77</f>
        <v/>
      </c>
      <c r="E77" s="5">
        <f>IF($A77="","",SUMIFS(Phan_cong!$J$3:$J$302,Phan_cong!$L$3:$L$302,$A77))</f>
        <v/>
      </c>
      <c r="F77" s="5">
        <f>IF($A77="","",SUMIFS(Phan_cong!$K$3:$K$302,Phan_cong!$O$3:$O$302,$A77))</f>
        <v/>
      </c>
      <c r="G77" s="5">
        <f>IF($A77="","",ROUND($E77/Huong_dan!$B$7,2))</f>
        <v/>
      </c>
      <c r="H77" s="5">
        <f>IF($A77="","",ROUND($F77/Huong_dan!$B$8,2))</f>
        <v/>
      </c>
      <c r="I77" s="5">
        <f>IF($A77="","",ROUND($G77-$D77,2))</f>
        <v/>
      </c>
      <c r="J77" s="6">
        <f>IF($A77="","",ROUND($H77-$D77,2))</f>
        <v/>
      </c>
      <c r="K77" s="6">
        <f>IF($A77="","",$E77+$F77)</f>
        <v/>
      </c>
      <c r="L77" s="6">
        <f>IF($A77="","",COUNTIF(Phan_cong!$L$3:$L$302,$A77))</f>
        <v/>
      </c>
      <c r="M77" s="6">
        <f>IF($A77="","",COUNTIF(Phan_cong!$O$3:$O$302,$A77))</f>
        <v/>
      </c>
      <c r="N77" s="6" t="n"/>
    </row>
    <row r="78">
      <c r="A78" s="5">
        <f>DM_Giao_vien!A78</f>
        <v/>
      </c>
      <c r="B78" s="6">
        <f>DM_Giao_vien!B78</f>
        <v/>
      </c>
      <c r="C78" s="5">
        <f>DM_Giao_vien!C78</f>
        <v/>
      </c>
      <c r="D78" s="5">
        <f>DM_Giao_vien!H78</f>
        <v/>
      </c>
      <c r="E78" s="5">
        <f>IF($A78="","",SUMIFS(Phan_cong!$J$3:$J$302,Phan_cong!$L$3:$L$302,$A78))</f>
        <v/>
      </c>
      <c r="F78" s="5">
        <f>IF($A78="","",SUMIFS(Phan_cong!$K$3:$K$302,Phan_cong!$O$3:$O$302,$A78))</f>
        <v/>
      </c>
      <c r="G78" s="5">
        <f>IF($A78="","",ROUND($E78/Huong_dan!$B$7,2))</f>
        <v/>
      </c>
      <c r="H78" s="5">
        <f>IF($A78="","",ROUND($F78/Huong_dan!$B$8,2))</f>
        <v/>
      </c>
      <c r="I78" s="5">
        <f>IF($A78="","",ROUND($G78-$D78,2))</f>
        <v/>
      </c>
      <c r="J78" s="6">
        <f>IF($A78="","",ROUND($H78-$D78,2))</f>
        <v/>
      </c>
      <c r="K78" s="6">
        <f>IF($A78="","",$E78+$F78)</f>
        <v/>
      </c>
      <c r="L78" s="6">
        <f>IF($A78="","",COUNTIF(Phan_cong!$L$3:$L$302,$A78))</f>
        <v/>
      </c>
      <c r="M78" s="6">
        <f>IF($A78="","",COUNTIF(Phan_cong!$O$3:$O$302,$A78))</f>
        <v/>
      </c>
      <c r="N78" s="6" t="n"/>
    </row>
    <row r="79">
      <c r="A79" s="5">
        <f>DM_Giao_vien!A79</f>
        <v/>
      </c>
      <c r="B79" s="6">
        <f>DM_Giao_vien!B79</f>
        <v/>
      </c>
      <c r="C79" s="5">
        <f>DM_Giao_vien!C79</f>
        <v/>
      </c>
      <c r="D79" s="5">
        <f>DM_Giao_vien!H79</f>
        <v/>
      </c>
      <c r="E79" s="5">
        <f>IF($A79="","",SUMIFS(Phan_cong!$J$3:$J$302,Phan_cong!$L$3:$L$302,$A79))</f>
        <v/>
      </c>
      <c r="F79" s="5">
        <f>IF($A79="","",SUMIFS(Phan_cong!$K$3:$K$302,Phan_cong!$O$3:$O$302,$A79))</f>
        <v/>
      </c>
      <c r="G79" s="5">
        <f>IF($A79="","",ROUND($E79/Huong_dan!$B$7,2))</f>
        <v/>
      </c>
      <c r="H79" s="5">
        <f>IF($A79="","",ROUND($F79/Huong_dan!$B$8,2))</f>
        <v/>
      </c>
      <c r="I79" s="5">
        <f>IF($A79="","",ROUND($G79-$D79,2))</f>
        <v/>
      </c>
      <c r="J79" s="6">
        <f>IF($A79="","",ROUND($H79-$D79,2))</f>
        <v/>
      </c>
      <c r="K79" s="6">
        <f>IF($A79="","",$E79+$F79)</f>
        <v/>
      </c>
      <c r="L79" s="6">
        <f>IF($A79="","",COUNTIF(Phan_cong!$L$3:$L$302,$A79))</f>
        <v/>
      </c>
      <c r="M79" s="6">
        <f>IF($A79="","",COUNTIF(Phan_cong!$O$3:$O$302,$A79))</f>
        <v/>
      </c>
      <c r="N79" s="6" t="n"/>
    </row>
    <row r="80">
      <c r="A80" s="5">
        <f>DM_Giao_vien!A80</f>
        <v/>
      </c>
      <c r="B80" s="6">
        <f>DM_Giao_vien!B80</f>
        <v/>
      </c>
      <c r="C80" s="5">
        <f>DM_Giao_vien!C80</f>
        <v/>
      </c>
      <c r="D80" s="5">
        <f>DM_Giao_vien!H80</f>
        <v/>
      </c>
      <c r="E80" s="5">
        <f>IF($A80="","",SUMIFS(Phan_cong!$J$3:$J$302,Phan_cong!$L$3:$L$302,$A80))</f>
        <v/>
      </c>
      <c r="F80" s="5">
        <f>IF($A80="","",SUMIFS(Phan_cong!$K$3:$K$302,Phan_cong!$O$3:$O$302,$A80))</f>
        <v/>
      </c>
      <c r="G80" s="5">
        <f>IF($A80="","",ROUND($E80/Huong_dan!$B$7,2))</f>
        <v/>
      </c>
      <c r="H80" s="5">
        <f>IF($A80="","",ROUND($F80/Huong_dan!$B$8,2))</f>
        <v/>
      </c>
      <c r="I80" s="5">
        <f>IF($A80="","",ROUND($G80-$D80,2))</f>
        <v/>
      </c>
      <c r="J80" s="6">
        <f>IF($A80="","",ROUND($H80-$D80,2))</f>
        <v/>
      </c>
      <c r="K80" s="6">
        <f>IF($A80="","",$E80+$F80)</f>
        <v/>
      </c>
      <c r="L80" s="6">
        <f>IF($A80="","",COUNTIF(Phan_cong!$L$3:$L$302,$A80))</f>
        <v/>
      </c>
      <c r="M80" s="6">
        <f>IF($A80="","",COUNTIF(Phan_cong!$O$3:$O$302,$A80))</f>
        <v/>
      </c>
      <c r="N80" s="6" t="n"/>
    </row>
    <row r="81">
      <c r="A81" s="5">
        <f>DM_Giao_vien!A81</f>
        <v/>
      </c>
      <c r="B81" s="6">
        <f>DM_Giao_vien!B81</f>
        <v/>
      </c>
      <c r="C81" s="5">
        <f>DM_Giao_vien!C81</f>
        <v/>
      </c>
      <c r="D81" s="5">
        <f>DM_Giao_vien!H81</f>
        <v/>
      </c>
      <c r="E81" s="5">
        <f>IF($A81="","",SUMIFS(Phan_cong!$J$3:$J$302,Phan_cong!$L$3:$L$302,$A81))</f>
        <v/>
      </c>
      <c r="F81" s="5">
        <f>IF($A81="","",SUMIFS(Phan_cong!$K$3:$K$302,Phan_cong!$O$3:$O$302,$A81))</f>
        <v/>
      </c>
      <c r="G81" s="5">
        <f>IF($A81="","",ROUND($E81/Huong_dan!$B$7,2))</f>
        <v/>
      </c>
      <c r="H81" s="5">
        <f>IF($A81="","",ROUND($F81/Huong_dan!$B$8,2))</f>
        <v/>
      </c>
      <c r="I81" s="5">
        <f>IF($A81="","",ROUND($G81-$D81,2))</f>
        <v/>
      </c>
      <c r="J81" s="6">
        <f>IF($A81="","",ROUND($H81-$D81,2))</f>
        <v/>
      </c>
      <c r="K81" s="6">
        <f>IF($A81="","",$E81+$F81)</f>
        <v/>
      </c>
      <c r="L81" s="6">
        <f>IF($A81="","",COUNTIF(Phan_cong!$L$3:$L$302,$A81))</f>
        <v/>
      </c>
      <c r="M81" s="6">
        <f>IF($A81="","",COUNTIF(Phan_cong!$O$3:$O$302,$A81))</f>
        <v/>
      </c>
      <c r="N81" s="6" t="n"/>
    </row>
    <row r="82">
      <c r="A82" s="5">
        <f>DM_Giao_vien!A82</f>
        <v/>
      </c>
      <c r="B82" s="6">
        <f>DM_Giao_vien!B82</f>
        <v/>
      </c>
      <c r="C82" s="5">
        <f>DM_Giao_vien!C82</f>
        <v/>
      </c>
      <c r="D82" s="5">
        <f>DM_Giao_vien!H82</f>
        <v/>
      </c>
      <c r="E82" s="5">
        <f>IF($A82="","",SUMIFS(Phan_cong!$J$3:$J$302,Phan_cong!$L$3:$L$302,$A82))</f>
        <v/>
      </c>
      <c r="F82" s="5">
        <f>IF($A82="","",SUMIFS(Phan_cong!$K$3:$K$302,Phan_cong!$O$3:$O$302,$A82))</f>
        <v/>
      </c>
      <c r="G82" s="5">
        <f>IF($A82="","",ROUND($E82/Huong_dan!$B$7,2))</f>
        <v/>
      </c>
      <c r="H82" s="5">
        <f>IF($A82="","",ROUND($F82/Huong_dan!$B$8,2))</f>
        <v/>
      </c>
      <c r="I82" s="5">
        <f>IF($A82="","",ROUND($G82-$D82,2))</f>
        <v/>
      </c>
      <c r="J82" s="6">
        <f>IF($A82="","",ROUND($H82-$D82,2))</f>
        <v/>
      </c>
      <c r="K82" s="6">
        <f>IF($A82="","",$E82+$F82)</f>
        <v/>
      </c>
      <c r="L82" s="6">
        <f>IF($A82="","",COUNTIF(Phan_cong!$L$3:$L$302,$A82))</f>
        <v/>
      </c>
      <c r="M82" s="6">
        <f>IF($A82="","",COUNTIF(Phan_cong!$O$3:$O$302,$A82))</f>
        <v/>
      </c>
      <c r="N82" s="6" t="n"/>
    </row>
    <row r="83">
      <c r="A83" s="5">
        <f>DM_Giao_vien!A83</f>
        <v/>
      </c>
      <c r="B83" s="6">
        <f>DM_Giao_vien!B83</f>
        <v/>
      </c>
      <c r="C83" s="5">
        <f>DM_Giao_vien!C83</f>
        <v/>
      </c>
      <c r="D83" s="5">
        <f>DM_Giao_vien!H83</f>
        <v/>
      </c>
      <c r="E83" s="5">
        <f>IF($A83="","",SUMIFS(Phan_cong!$J$3:$J$302,Phan_cong!$L$3:$L$302,$A83))</f>
        <v/>
      </c>
      <c r="F83" s="5">
        <f>IF($A83="","",SUMIFS(Phan_cong!$K$3:$K$302,Phan_cong!$O$3:$O$302,$A83))</f>
        <v/>
      </c>
      <c r="G83" s="5">
        <f>IF($A83="","",ROUND($E83/Huong_dan!$B$7,2))</f>
        <v/>
      </c>
      <c r="H83" s="5">
        <f>IF($A83="","",ROUND($F83/Huong_dan!$B$8,2))</f>
        <v/>
      </c>
      <c r="I83" s="5">
        <f>IF($A83="","",ROUND($G83-$D83,2))</f>
        <v/>
      </c>
      <c r="J83" s="6">
        <f>IF($A83="","",ROUND($H83-$D83,2))</f>
        <v/>
      </c>
      <c r="K83" s="6">
        <f>IF($A83="","",$E83+$F83)</f>
        <v/>
      </c>
      <c r="L83" s="6">
        <f>IF($A83="","",COUNTIF(Phan_cong!$L$3:$L$302,$A83))</f>
        <v/>
      </c>
      <c r="M83" s="6">
        <f>IF($A83="","",COUNTIF(Phan_cong!$O$3:$O$302,$A83))</f>
        <v/>
      </c>
      <c r="N83" s="6" t="n"/>
    </row>
    <row r="84">
      <c r="A84" s="5">
        <f>DM_Giao_vien!A84</f>
        <v/>
      </c>
      <c r="B84" s="6">
        <f>DM_Giao_vien!B84</f>
        <v/>
      </c>
      <c r="C84" s="5">
        <f>DM_Giao_vien!C84</f>
        <v/>
      </c>
      <c r="D84" s="5">
        <f>DM_Giao_vien!H84</f>
        <v/>
      </c>
      <c r="E84" s="5">
        <f>IF($A84="","",SUMIFS(Phan_cong!$J$3:$J$302,Phan_cong!$L$3:$L$302,$A84))</f>
        <v/>
      </c>
      <c r="F84" s="5">
        <f>IF($A84="","",SUMIFS(Phan_cong!$K$3:$K$302,Phan_cong!$O$3:$O$302,$A84))</f>
        <v/>
      </c>
      <c r="G84" s="5">
        <f>IF($A84="","",ROUND($E84/Huong_dan!$B$7,2))</f>
        <v/>
      </c>
      <c r="H84" s="5">
        <f>IF($A84="","",ROUND($F84/Huong_dan!$B$8,2))</f>
        <v/>
      </c>
      <c r="I84" s="5">
        <f>IF($A84="","",ROUND($G84-$D84,2))</f>
        <v/>
      </c>
      <c r="J84" s="6">
        <f>IF($A84="","",ROUND($H84-$D84,2))</f>
        <v/>
      </c>
      <c r="K84" s="6">
        <f>IF($A84="","",$E84+$F84)</f>
        <v/>
      </c>
      <c r="L84" s="6">
        <f>IF($A84="","",COUNTIF(Phan_cong!$L$3:$L$302,$A84))</f>
        <v/>
      </c>
      <c r="M84" s="6">
        <f>IF($A84="","",COUNTIF(Phan_cong!$O$3:$O$302,$A84))</f>
        <v/>
      </c>
      <c r="N84" s="6" t="n"/>
    </row>
    <row r="85">
      <c r="A85" s="5">
        <f>DM_Giao_vien!A85</f>
        <v/>
      </c>
      <c r="B85" s="6">
        <f>DM_Giao_vien!B85</f>
        <v/>
      </c>
      <c r="C85" s="5">
        <f>DM_Giao_vien!C85</f>
        <v/>
      </c>
      <c r="D85" s="5">
        <f>DM_Giao_vien!H85</f>
        <v/>
      </c>
      <c r="E85" s="5">
        <f>IF($A85="","",SUMIFS(Phan_cong!$J$3:$J$302,Phan_cong!$L$3:$L$302,$A85))</f>
        <v/>
      </c>
      <c r="F85" s="5">
        <f>IF($A85="","",SUMIFS(Phan_cong!$K$3:$K$302,Phan_cong!$O$3:$O$302,$A85))</f>
        <v/>
      </c>
      <c r="G85" s="5">
        <f>IF($A85="","",ROUND($E85/Huong_dan!$B$7,2))</f>
        <v/>
      </c>
      <c r="H85" s="5">
        <f>IF($A85="","",ROUND($F85/Huong_dan!$B$8,2))</f>
        <v/>
      </c>
      <c r="I85" s="5">
        <f>IF($A85="","",ROUND($G85-$D85,2))</f>
        <v/>
      </c>
      <c r="J85" s="6">
        <f>IF($A85="","",ROUND($H85-$D85,2))</f>
        <v/>
      </c>
      <c r="K85" s="6">
        <f>IF($A85="","",$E85+$F85)</f>
        <v/>
      </c>
      <c r="L85" s="6">
        <f>IF($A85="","",COUNTIF(Phan_cong!$L$3:$L$302,$A85))</f>
        <v/>
      </c>
      <c r="M85" s="6">
        <f>IF($A85="","",COUNTIF(Phan_cong!$O$3:$O$302,$A85))</f>
        <v/>
      </c>
      <c r="N85" s="6" t="n"/>
    </row>
    <row r="86">
      <c r="A86" s="5">
        <f>DM_Giao_vien!A86</f>
        <v/>
      </c>
      <c r="B86" s="6">
        <f>DM_Giao_vien!B86</f>
        <v/>
      </c>
      <c r="C86" s="5">
        <f>DM_Giao_vien!C86</f>
        <v/>
      </c>
      <c r="D86" s="5">
        <f>DM_Giao_vien!H86</f>
        <v/>
      </c>
      <c r="E86" s="5">
        <f>IF($A86="","",SUMIFS(Phan_cong!$J$3:$J$302,Phan_cong!$L$3:$L$302,$A86))</f>
        <v/>
      </c>
      <c r="F86" s="5">
        <f>IF($A86="","",SUMIFS(Phan_cong!$K$3:$K$302,Phan_cong!$O$3:$O$302,$A86))</f>
        <v/>
      </c>
      <c r="G86" s="5">
        <f>IF($A86="","",ROUND($E86/Huong_dan!$B$7,2))</f>
        <v/>
      </c>
      <c r="H86" s="5">
        <f>IF($A86="","",ROUND($F86/Huong_dan!$B$8,2))</f>
        <v/>
      </c>
      <c r="I86" s="5">
        <f>IF($A86="","",ROUND($G86-$D86,2))</f>
        <v/>
      </c>
      <c r="J86" s="6">
        <f>IF($A86="","",ROUND($H86-$D86,2))</f>
        <v/>
      </c>
      <c r="K86" s="6">
        <f>IF($A86="","",$E86+$F86)</f>
        <v/>
      </c>
      <c r="L86" s="6">
        <f>IF($A86="","",COUNTIF(Phan_cong!$L$3:$L$302,$A86))</f>
        <v/>
      </c>
      <c r="M86" s="6">
        <f>IF($A86="","",COUNTIF(Phan_cong!$O$3:$O$302,$A86))</f>
        <v/>
      </c>
      <c r="N86" s="6" t="n"/>
    </row>
    <row r="87">
      <c r="A87" s="5">
        <f>DM_Giao_vien!A87</f>
        <v/>
      </c>
      <c r="B87" s="6">
        <f>DM_Giao_vien!B87</f>
        <v/>
      </c>
      <c r="C87" s="5">
        <f>DM_Giao_vien!C87</f>
        <v/>
      </c>
      <c r="D87" s="5">
        <f>DM_Giao_vien!H87</f>
        <v/>
      </c>
      <c r="E87" s="5">
        <f>IF($A87="","",SUMIFS(Phan_cong!$J$3:$J$302,Phan_cong!$L$3:$L$302,$A87))</f>
        <v/>
      </c>
      <c r="F87" s="5">
        <f>IF($A87="","",SUMIFS(Phan_cong!$K$3:$K$302,Phan_cong!$O$3:$O$302,$A87))</f>
        <v/>
      </c>
      <c r="G87" s="5">
        <f>IF($A87="","",ROUND($E87/Huong_dan!$B$7,2))</f>
        <v/>
      </c>
      <c r="H87" s="5">
        <f>IF($A87="","",ROUND($F87/Huong_dan!$B$8,2))</f>
        <v/>
      </c>
      <c r="I87" s="5">
        <f>IF($A87="","",ROUND($G87-$D87,2))</f>
        <v/>
      </c>
      <c r="J87" s="6">
        <f>IF($A87="","",ROUND($H87-$D87,2))</f>
        <v/>
      </c>
      <c r="K87" s="6">
        <f>IF($A87="","",$E87+$F87)</f>
        <v/>
      </c>
      <c r="L87" s="6">
        <f>IF($A87="","",COUNTIF(Phan_cong!$L$3:$L$302,$A87))</f>
        <v/>
      </c>
      <c r="M87" s="6">
        <f>IF($A87="","",COUNTIF(Phan_cong!$O$3:$O$302,$A87))</f>
        <v/>
      </c>
      <c r="N87" s="6" t="n"/>
    </row>
    <row r="88">
      <c r="A88" s="5">
        <f>DM_Giao_vien!A88</f>
        <v/>
      </c>
      <c r="B88" s="6">
        <f>DM_Giao_vien!B88</f>
        <v/>
      </c>
      <c r="C88" s="5">
        <f>DM_Giao_vien!C88</f>
        <v/>
      </c>
      <c r="D88" s="5">
        <f>DM_Giao_vien!H88</f>
        <v/>
      </c>
      <c r="E88" s="5">
        <f>IF($A88="","",SUMIFS(Phan_cong!$J$3:$J$302,Phan_cong!$L$3:$L$302,$A88))</f>
        <v/>
      </c>
      <c r="F88" s="5">
        <f>IF($A88="","",SUMIFS(Phan_cong!$K$3:$K$302,Phan_cong!$O$3:$O$302,$A88))</f>
        <v/>
      </c>
      <c r="G88" s="5">
        <f>IF($A88="","",ROUND($E88/Huong_dan!$B$7,2))</f>
        <v/>
      </c>
      <c r="H88" s="5">
        <f>IF($A88="","",ROUND($F88/Huong_dan!$B$8,2))</f>
        <v/>
      </c>
      <c r="I88" s="5">
        <f>IF($A88="","",ROUND($G88-$D88,2))</f>
        <v/>
      </c>
      <c r="J88" s="6">
        <f>IF($A88="","",ROUND($H88-$D88,2))</f>
        <v/>
      </c>
      <c r="K88" s="6">
        <f>IF($A88="","",$E88+$F88)</f>
        <v/>
      </c>
      <c r="L88" s="6">
        <f>IF($A88="","",COUNTIF(Phan_cong!$L$3:$L$302,$A88))</f>
        <v/>
      </c>
      <c r="M88" s="6">
        <f>IF($A88="","",COUNTIF(Phan_cong!$O$3:$O$302,$A88))</f>
        <v/>
      </c>
      <c r="N88" s="6" t="n"/>
    </row>
    <row r="89">
      <c r="A89" s="5">
        <f>DM_Giao_vien!A89</f>
        <v/>
      </c>
      <c r="B89" s="6">
        <f>DM_Giao_vien!B89</f>
        <v/>
      </c>
      <c r="C89" s="5">
        <f>DM_Giao_vien!C89</f>
        <v/>
      </c>
      <c r="D89" s="5">
        <f>DM_Giao_vien!H89</f>
        <v/>
      </c>
      <c r="E89" s="5">
        <f>IF($A89="","",SUMIFS(Phan_cong!$J$3:$J$302,Phan_cong!$L$3:$L$302,$A89))</f>
        <v/>
      </c>
      <c r="F89" s="5">
        <f>IF($A89="","",SUMIFS(Phan_cong!$K$3:$K$302,Phan_cong!$O$3:$O$302,$A89))</f>
        <v/>
      </c>
      <c r="G89" s="5">
        <f>IF($A89="","",ROUND($E89/Huong_dan!$B$7,2))</f>
        <v/>
      </c>
      <c r="H89" s="5">
        <f>IF($A89="","",ROUND($F89/Huong_dan!$B$8,2))</f>
        <v/>
      </c>
      <c r="I89" s="5">
        <f>IF($A89="","",ROUND($G89-$D89,2))</f>
        <v/>
      </c>
      <c r="J89" s="6">
        <f>IF($A89="","",ROUND($H89-$D89,2))</f>
        <v/>
      </c>
      <c r="K89" s="6">
        <f>IF($A89="","",$E89+$F89)</f>
        <v/>
      </c>
      <c r="L89" s="6">
        <f>IF($A89="","",COUNTIF(Phan_cong!$L$3:$L$302,$A89))</f>
        <v/>
      </c>
      <c r="M89" s="6">
        <f>IF($A89="","",COUNTIF(Phan_cong!$O$3:$O$302,$A89))</f>
        <v/>
      </c>
      <c r="N89" s="6" t="n"/>
    </row>
    <row r="90">
      <c r="A90" s="5">
        <f>DM_Giao_vien!A90</f>
        <v/>
      </c>
      <c r="B90" s="6">
        <f>DM_Giao_vien!B90</f>
        <v/>
      </c>
      <c r="C90" s="5">
        <f>DM_Giao_vien!C90</f>
        <v/>
      </c>
      <c r="D90" s="5">
        <f>DM_Giao_vien!H90</f>
        <v/>
      </c>
      <c r="E90" s="5">
        <f>IF($A90="","",SUMIFS(Phan_cong!$J$3:$J$302,Phan_cong!$L$3:$L$302,$A90))</f>
        <v/>
      </c>
      <c r="F90" s="5">
        <f>IF($A90="","",SUMIFS(Phan_cong!$K$3:$K$302,Phan_cong!$O$3:$O$302,$A90))</f>
        <v/>
      </c>
      <c r="G90" s="5">
        <f>IF($A90="","",ROUND($E90/Huong_dan!$B$7,2))</f>
        <v/>
      </c>
      <c r="H90" s="5">
        <f>IF($A90="","",ROUND($F90/Huong_dan!$B$8,2))</f>
        <v/>
      </c>
      <c r="I90" s="5">
        <f>IF($A90="","",ROUND($G90-$D90,2))</f>
        <v/>
      </c>
      <c r="J90" s="6">
        <f>IF($A90="","",ROUND($H90-$D90,2))</f>
        <v/>
      </c>
      <c r="K90" s="6">
        <f>IF($A90="","",$E90+$F90)</f>
        <v/>
      </c>
      <c r="L90" s="6">
        <f>IF($A90="","",COUNTIF(Phan_cong!$L$3:$L$302,$A90))</f>
        <v/>
      </c>
      <c r="M90" s="6">
        <f>IF($A90="","",COUNTIF(Phan_cong!$O$3:$O$302,$A90))</f>
        <v/>
      </c>
      <c r="N90" s="6" t="n"/>
    </row>
    <row r="91">
      <c r="A91" s="5">
        <f>DM_Giao_vien!A91</f>
        <v/>
      </c>
      <c r="B91" s="6">
        <f>DM_Giao_vien!B91</f>
        <v/>
      </c>
      <c r="C91" s="5">
        <f>DM_Giao_vien!C91</f>
        <v/>
      </c>
      <c r="D91" s="5">
        <f>DM_Giao_vien!H91</f>
        <v/>
      </c>
      <c r="E91" s="5">
        <f>IF($A91="","",SUMIFS(Phan_cong!$J$3:$J$302,Phan_cong!$L$3:$L$302,$A91))</f>
        <v/>
      </c>
      <c r="F91" s="5">
        <f>IF($A91="","",SUMIFS(Phan_cong!$K$3:$K$302,Phan_cong!$O$3:$O$302,$A91))</f>
        <v/>
      </c>
      <c r="G91" s="5">
        <f>IF($A91="","",ROUND($E91/Huong_dan!$B$7,2))</f>
        <v/>
      </c>
      <c r="H91" s="5">
        <f>IF($A91="","",ROUND($F91/Huong_dan!$B$8,2))</f>
        <v/>
      </c>
      <c r="I91" s="5">
        <f>IF($A91="","",ROUND($G91-$D91,2))</f>
        <v/>
      </c>
      <c r="J91" s="6">
        <f>IF($A91="","",ROUND($H91-$D91,2))</f>
        <v/>
      </c>
      <c r="K91" s="6">
        <f>IF($A91="","",$E91+$F91)</f>
        <v/>
      </c>
      <c r="L91" s="6">
        <f>IF($A91="","",COUNTIF(Phan_cong!$L$3:$L$302,$A91))</f>
        <v/>
      </c>
      <c r="M91" s="6">
        <f>IF($A91="","",COUNTIF(Phan_cong!$O$3:$O$302,$A91))</f>
        <v/>
      </c>
      <c r="N91" s="6" t="n"/>
    </row>
    <row r="92">
      <c r="A92" s="5">
        <f>DM_Giao_vien!A92</f>
        <v/>
      </c>
      <c r="B92" s="6">
        <f>DM_Giao_vien!B92</f>
        <v/>
      </c>
      <c r="C92" s="5">
        <f>DM_Giao_vien!C92</f>
        <v/>
      </c>
      <c r="D92" s="5">
        <f>DM_Giao_vien!H92</f>
        <v/>
      </c>
      <c r="E92" s="5">
        <f>IF($A92="","",SUMIFS(Phan_cong!$J$3:$J$302,Phan_cong!$L$3:$L$302,$A92))</f>
        <v/>
      </c>
      <c r="F92" s="5">
        <f>IF($A92="","",SUMIFS(Phan_cong!$K$3:$K$302,Phan_cong!$O$3:$O$302,$A92))</f>
        <v/>
      </c>
      <c r="G92" s="5">
        <f>IF($A92="","",ROUND($E92/Huong_dan!$B$7,2))</f>
        <v/>
      </c>
      <c r="H92" s="5">
        <f>IF($A92="","",ROUND($F92/Huong_dan!$B$8,2))</f>
        <v/>
      </c>
      <c r="I92" s="5">
        <f>IF($A92="","",ROUND($G92-$D92,2))</f>
        <v/>
      </c>
      <c r="J92" s="6">
        <f>IF($A92="","",ROUND($H92-$D92,2))</f>
        <v/>
      </c>
      <c r="K92" s="6">
        <f>IF($A92="","",$E92+$F92)</f>
        <v/>
      </c>
      <c r="L92" s="6">
        <f>IF($A92="","",COUNTIF(Phan_cong!$L$3:$L$302,$A92))</f>
        <v/>
      </c>
      <c r="M92" s="6">
        <f>IF($A92="","",COUNTIF(Phan_cong!$O$3:$O$302,$A92))</f>
        <v/>
      </c>
      <c r="N92" s="6" t="n"/>
    </row>
    <row r="93">
      <c r="A93" s="5">
        <f>DM_Giao_vien!A93</f>
        <v/>
      </c>
      <c r="B93" s="6">
        <f>DM_Giao_vien!B93</f>
        <v/>
      </c>
      <c r="C93" s="5">
        <f>DM_Giao_vien!C93</f>
        <v/>
      </c>
      <c r="D93" s="5">
        <f>DM_Giao_vien!H93</f>
        <v/>
      </c>
      <c r="E93" s="5">
        <f>IF($A93="","",SUMIFS(Phan_cong!$J$3:$J$302,Phan_cong!$L$3:$L$302,$A93))</f>
        <v/>
      </c>
      <c r="F93" s="5">
        <f>IF($A93="","",SUMIFS(Phan_cong!$K$3:$K$302,Phan_cong!$O$3:$O$302,$A93))</f>
        <v/>
      </c>
      <c r="G93" s="5">
        <f>IF($A93="","",ROUND($E93/Huong_dan!$B$7,2))</f>
        <v/>
      </c>
      <c r="H93" s="5">
        <f>IF($A93="","",ROUND($F93/Huong_dan!$B$8,2))</f>
        <v/>
      </c>
      <c r="I93" s="5">
        <f>IF($A93="","",ROUND($G93-$D93,2))</f>
        <v/>
      </c>
      <c r="J93" s="6">
        <f>IF($A93="","",ROUND($H93-$D93,2))</f>
        <v/>
      </c>
      <c r="K93" s="6">
        <f>IF($A93="","",$E93+$F93)</f>
        <v/>
      </c>
      <c r="L93" s="6">
        <f>IF($A93="","",COUNTIF(Phan_cong!$L$3:$L$302,$A93))</f>
        <v/>
      </c>
      <c r="M93" s="6">
        <f>IF($A93="","",COUNTIF(Phan_cong!$O$3:$O$302,$A93))</f>
        <v/>
      </c>
      <c r="N93" s="6" t="n"/>
    </row>
    <row r="94">
      <c r="A94" s="5">
        <f>DM_Giao_vien!A94</f>
        <v/>
      </c>
      <c r="B94" s="6">
        <f>DM_Giao_vien!B94</f>
        <v/>
      </c>
      <c r="C94" s="5">
        <f>DM_Giao_vien!C94</f>
        <v/>
      </c>
      <c r="D94" s="5">
        <f>DM_Giao_vien!H94</f>
        <v/>
      </c>
      <c r="E94" s="5">
        <f>IF($A94="","",SUMIFS(Phan_cong!$J$3:$J$302,Phan_cong!$L$3:$L$302,$A94))</f>
        <v/>
      </c>
      <c r="F94" s="5">
        <f>IF($A94="","",SUMIFS(Phan_cong!$K$3:$K$302,Phan_cong!$O$3:$O$302,$A94))</f>
        <v/>
      </c>
      <c r="G94" s="5">
        <f>IF($A94="","",ROUND($E94/Huong_dan!$B$7,2))</f>
        <v/>
      </c>
      <c r="H94" s="5">
        <f>IF($A94="","",ROUND($F94/Huong_dan!$B$8,2))</f>
        <v/>
      </c>
      <c r="I94" s="5">
        <f>IF($A94="","",ROUND($G94-$D94,2))</f>
        <v/>
      </c>
      <c r="J94" s="6">
        <f>IF($A94="","",ROUND($H94-$D94,2))</f>
        <v/>
      </c>
      <c r="K94" s="6">
        <f>IF($A94="","",$E94+$F94)</f>
        <v/>
      </c>
      <c r="L94" s="6">
        <f>IF($A94="","",COUNTIF(Phan_cong!$L$3:$L$302,$A94))</f>
        <v/>
      </c>
      <c r="M94" s="6">
        <f>IF($A94="","",COUNTIF(Phan_cong!$O$3:$O$302,$A94))</f>
        <v/>
      </c>
      <c r="N94" s="6" t="n"/>
    </row>
    <row r="95">
      <c r="A95" s="5">
        <f>DM_Giao_vien!A95</f>
        <v/>
      </c>
      <c r="B95" s="6">
        <f>DM_Giao_vien!B95</f>
        <v/>
      </c>
      <c r="C95" s="5">
        <f>DM_Giao_vien!C95</f>
        <v/>
      </c>
      <c r="D95" s="5">
        <f>DM_Giao_vien!H95</f>
        <v/>
      </c>
      <c r="E95" s="5">
        <f>IF($A95="","",SUMIFS(Phan_cong!$J$3:$J$302,Phan_cong!$L$3:$L$302,$A95))</f>
        <v/>
      </c>
      <c r="F95" s="5">
        <f>IF($A95="","",SUMIFS(Phan_cong!$K$3:$K$302,Phan_cong!$O$3:$O$302,$A95))</f>
        <v/>
      </c>
      <c r="G95" s="5">
        <f>IF($A95="","",ROUND($E95/Huong_dan!$B$7,2))</f>
        <v/>
      </c>
      <c r="H95" s="5">
        <f>IF($A95="","",ROUND($F95/Huong_dan!$B$8,2))</f>
        <v/>
      </c>
      <c r="I95" s="5">
        <f>IF($A95="","",ROUND($G95-$D95,2))</f>
        <v/>
      </c>
      <c r="J95" s="6">
        <f>IF($A95="","",ROUND($H95-$D95,2))</f>
        <v/>
      </c>
      <c r="K95" s="6">
        <f>IF($A95="","",$E95+$F95)</f>
        <v/>
      </c>
      <c r="L95" s="6">
        <f>IF($A95="","",COUNTIF(Phan_cong!$L$3:$L$302,$A95))</f>
        <v/>
      </c>
      <c r="M95" s="6">
        <f>IF($A95="","",COUNTIF(Phan_cong!$O$3:$O$302,$A95))</f>
        <v/>
      </c>
      <c r="N95" s="6" t="n"/>
    </row>
    <row r="96">
      <c r="A96" s="5">
        <f>DM_Giao_vien!A96</f>
        <v/>
      </c>
      <c r="B96" s="6">
        <f>DM_Giao_vien!B96</f>
        <v/>
      </c>
      <c r="C96" s="5">
        <f>DM_Giao_vien!C96</f>
        <v/>
      </c>
      <c r="D96" s="5">
        <f>DM_Giao_vien!H96</f>
        <v/>
      </c>
      <c r="E96" s="5">
        <f>IF($A96="","",SUMIFS(Phan_cong!$J$3:$J$302,Phan_cong!$L$3:$L$302,$A96))</f>
        <v/>
      </c>
      <c r="F96" s="5">
        <f>IF($A96="","",SUMIFS(Phan_cong!$K$3:$K$302,Phan_cong!$O$3:$O$302,$A96))</f>
        <v/>
      </c>
      <c r="G96" s="5">
        <f>IF($A96="","",ROUND($E96/Huong_dan!$B$7,2))</f>
        <v/>
      </c>
      <c r="H96" s="5">
        <f>IF($A96="","",ROUND($F96/Huong_dan!$B$8,2))</f>
        <v/>
      </c>
      <c r="I96" s="5">
        <f>IF($A96="","",ROUND($G96-$D96,2))</f>
        <v/>
      </c>
      <c r="J96" s="6">
        <f>IF($A96="","",ROUND($H96-$D96,2))</f>
        <v/>
      </c>
      <c r="K96" s="6">
        <f>IF($A96="","",$E96+$F96)</f>
        <v/>
      </c>
      <c r="L96" s="6">
        <f>IF($A96="","",COUNTIF(Phan_cong!$L$3:$L$302,$A96))</f>
        <v/>
      </c>
      <c r="M96" s="6">
        <f>IF($A96="","",COUNTIF(Phan_cong!$O$3:$O$302,$A96))</f>
        <v/>
      </c>
      <c r="N96" s="6" t="n"/>
    </row>
    <row r="97">
      <c r="A97" s="5">
        <f>DM_Giao_vien!A97</f>
        <v/>
      </c>
      <c r="B97" s="6">
        <f>DM_Giao_vien!B97</f>
        <v/>
      </c>
      <c r="C97" s="5">
        <f>DM_Giao_vien!C97</f>
        <v/>
      </c>
      <c r="D97" s="5">
        <f>DM_Giao_vien!H97</f>
        <v/>
      </c>
      <c r="E97" s="5">
        <f>IF($A97="","",SUMIFS(Phan_cong!$J$3:$J$302,Phan_cong!$L$3:$L$302,$A97))</f>
        <v/>
      </c>
      <c r="F97" s="5">
        <f>IF($A97="","",SUMIFS(Phan_cong!$K$3:$K$302,Phan_cong!$O$3:$O$302,$A97))</f>
        <v/>
      </c>
      <c r="G97" s="5">
        <f>IF($A97="","",ROUND($E97/Huong_dan!$B$7,2))</f>
        <v/>
      </c>
      <c r="H97" s="5">
        <f>IF($A97="","",ROUND($F97/Huong_dan!$B$8,2))</f>
        <v/>
      </c>
      <c r="I97" s="5">
        <f>IF($A97="","",ROUND($G97-$D97,2))</f>
        <v/>
      </c>
      <c r="J97" s="6">
        <f>IF($A97="","",ROUND($H97-$D97,2))</f>
        <v/>
      </c>
      <c r="K97" s="6">
        <f>IF($A97="","",$E97+$F97)</f>
        <v/>
      </c>
      <c r="L97" s="6">
        <f>IF($A97="","",COUNTIF(Phan_cong!$L$3:$L$302,$A97))</f>
        <v/>
      </c>
      <c r="M97" s="6">
        <f>IF($A97="","",COUNTIF(Phan_cong!$O$3:$O$302,$A97))</f>
        <v/>
      </c>
      <c r="N97" s="6" t="n"/>
    </row>
    <row r="98">
      <c r="A98" s="5">
        <f>DM_Giao_vien!A98</f>
        <v/>
      </c>
      <c r="B98" s="6">
        <f>DM_Giao_vien!B98</f>
        <v/>
      </c>
      <c r="C98" s="5">
        <f>DM_Giao_vien!C98</f>
        <v/>
      </c>
      <c r="D98" s="5">
        <f>DM_Giao_vien!H98</f>
        <v/>
      </c>
      <c r="E98" s="5">
        <f>IF($A98="","",SUMIFS(Phan_cong!$J$3:$J$302,Phan_cong!$L$3:$L$302,$A98))</f>
        <v/>
      </c>
      <c r="F98" s="5">
        <f>IF($A98="","",SUMIFS(Phan_cong!$K$3:$K$302,Phan_cong!$O$3:$O$302,$A98))</f>
        <v/>
      </c>
      <c r="G98" s="5">
        <f>IF($A98="","",ROUND($E98/Huong_dan!$B$7,2))</f>
        <v/>
      </c>
      <c r="H98" s="5">
        <f>IF($A98="","",ROUND($F98/Huong_dan!$B$8,2))</f>
        <v/>
      </c>
      <c r="I98" s="5">
        <f>IF($A98="","",ROUND($G98-$D98,2))</f>
        <v/>
      </c>
      <c r="J98" s="6">
        <f>IF($A98="","",ROUND($H98-$D98,2))</f>
        <v/>
      </c>
      <c r="K98" s="6">
        <f>IF($A98="","",$E98+$F98)</f>
        <v/>
      </c>
      <c r="L98" s="6">
        <f>IF($A98="","",COUNTIF(Phan_cong!$L$3:$L$302,$A98))</f>
        <v/>
      </c>
      <c r="M98" s="6">
        <f>IF($A98="","",COUNTIF(Phan_cong!$O$3:$O$302,$A98))</f>
        <v/>
      </c>
      <c r="N98" s="6" t="n"/>
    </row>
    <row r="99">
      <c r="A99" s="5">
        <f>DM_Giao_vien!A99</f>
        <v/>
      </c>
      <c r="B99" s="6">
        <f>DM_Giao_vien!B99</f>
        <v/>
      </c>
      <c r="C99" s="5">
        <f>DM_Giao_vien!C99</f>
        <v/>
      </c>
      <c r="D99" s="5">
        <f>DM_Giao_vien!H99</f>
        <v/>
      </c>
      <c r="E99" s="5">
        <f>IF($A99="","",SUMIFS(Phan_cong!$J$3:$J$302,Phan_cong!$L$3:$L$302,$A99))</f>
        <v/>
      </c>
      <c r="F99" s="5">
        <f>IF($A99="","",SUMIFS(Phan_cong!$K$3:$K$302,Phan_cong!$O$3:$O$302,$A99))</f>
        <v/>
      </c>
      <c r="G99" s="5">
        <f>IF($A99="","",ROUND($E99/Huong_dan!$B$7,2))</f>
        <v/>
      </c>
      <c r="H99" s="5">
        <f>IF($A99="","",ROUND($F99/Huong_dan!$B$8,2))</f>
        <v/>
      </c>
      <c r="I99" s="5">
        <f>IF($A99="","",ROUND($G99-$D99,2))</f>
        <v/>
      </c>
      <c r="J99" s="6">
        <f>IF($A99="","",ROUND($H99-$D99,2))</f>
        <v/>
      </c>
      <c r="K99" s="6">
        <f>IF($A99="","",$E99+$F99)</f>
        <v/>
      </c>
      <c r="L99" s="6">
        <f>IF($A99="","",COUNTIF(Phan_cong!$L$3:$L$302,$A99))</f>
        <v/>
      </c>
      <c r="M99" s="6">
        <f>IF($A99="","",COUNTIF(Phan_cong!$O$3:$O$302,$A99))</f>
        <v/>
      </c>
      <c r="N99" s="6" t="n"/>
    </row>
    <row r="100">
      <c r="A100" s="5">
        <f>DM_Giao_vien!A100</f>
        <v/>
      </c>
      <c r="B100" s="6">
        <f>DM_Giao_vien!B100</f>
        <v/>
      </c>
      <c r="C100" s="5">
        <f>DM_Giao_vien!C100</f>
        <v/>
      </c>
      <c r="D100" s="5">
        <f>DM_Giao_vien!H100</f>
        <v/>
      </c>
      <c r="E100" s="5">
        <f>IF($A100="","",SUMIFS(Phan_cong!$J$3:$J$302,Phan_cong!$L$3:$L$302,$A100))</f>
        <v/>
      </c>
      <c r="F100" s="5">
        <f>IF($A100="","",SUMIFS(Phan_cong!$K$3:$K$302,Phan_cong!$O$3:$O$302,$A100))</f>
        <v/>
      </c>
      <c r="G100" s="5">
        <f>IF($A100="","",ROUND($E100/Huong_dan!$B$7,2))</f>
        <v/>
      </c>
      <c r="H100" s="5">
        <f>IF($A100="","",ROUND($F100/Huong_dan!$B$8,2))</f>
        <v/>
      </c>
      <c r="I100" s="5">
        <f>IF($A100="","",ROUND($G100-$D100,2))</f>
        <v/>
      </c>
      <c r="J100" s="6">
        <f>IF($A100="","",ROUND($H100-$D100,2))</f>
        <v/>
      </c>
      <c r="K100" s="6">
        <f>IF($A100="","",$E100+$F100)</f>
        <v/>
      </c>
      <c r="L100" s="6">
        <f>IF($A100="","",COUNTIF(Phan_cong!$L$3:$L$302,$A100))</f>
        <v/>
      </c>
      <c r="M100" s="6">
        <f>IF($A100="","",COUNTIF(Phan_cong!$O$3:$O$302,$A100))</f>
        <v/>
      </c>
      <c r="N100" s="6" t="n"/>
    </row>
    <row r="101">
      <c r="A101" s="5">
        <f>DM_Giao_vien!A101</f>
        <v/>
      </c>
      <c r="B101" s="6">
        <f>DM_Giao_vien!B101</f>
        <v/>
      </c>
      <c r="C101" s="5">
        <f>DM_Giao_vien!C101</f>
        <v/>
      </c>
      <c r="D101" s="5">
        <f>DM_Giao_vien!H101</f>
        <v/>
      </c>
      <c r="E101" s="5">
        <f>IF($A101="","",SUMIFS(Phan_cong!$J$3:$J$302,Phan_cong!$L$3:$L$302,$A101))</f>
        <v/>
      </c>
      <c r="F101" s="5">
        <f>IF($A101="","",SUMIFS(Phan_cong!$K$3:$K$302,Phan_cong!$O$3:$O$302,$A101))</f>
        <v/>
      </c>
      <c r="G101" s="5">
        <f>IF($A101="","",ROUND($E101/Huong_dan!$B$7,2))</f>
        <v/>
      </c>
      <c r="H101" s="5">
        <f>IF($A101="","",ROUND($F101/Huong_dan!$B$8,2))</f>
        <v/>
      </c>
      <c r="I101" s="5">
        <f>IF($A101="","",ROUND($G101-$D101,2))</f>
        <v/>
      </c>
      <c r="J101" s="6">
        <f>IF($A101="","",ROUND($H101-$D101,2))</f>
        <v/>
      </c>
      <c r="K101" s="6">
        <f>IF($A101="","",$E101+$F101)</f>
        <v/>
      </c>
      <c r="L101" s="6">
        <f>IF($A101="","",COUNTIF(Phan_cong!$L$3:$L$302,$A101))</f>
        <v/>
      </c>
      <c r="M101" s="6">
        <f>IF($A101="","",COUNTIF(Phan_cong!$O$3:$O$302,$A101))</f>
        <v/>
      </c>
      <c r="N101" s="6" t="n"/>
    </row>
    <row r="102">
      <c r="A102" s="5">
        <f>DM_Giao_vien!A102</f>
        <v/>
      </c>
      <c r="B102" s="6">
        <f>DM_Giao_vien!B102</f>
        <v/>
      </c>
      <c r="C102" s="5">
        <f>DM_Giao_vien!C102</f>
        <v/>
      </c>
      <c r="D102" s="5">
        <f>DM_Giao_vien!H102</f>
        <v/>
      </c>
      <c r="E102" s="5">
        <f>IF($A102="","",SUMIFS(Phan_cong!$J$3:$J$302,Phan_cong!$L$3:$L$302,$A102))</f>
        <v/>
      </c>
      <c r="F102" s="5">
        <f>IF($A102="","",SUMIFS(Phan_cong!$K$3:$K$302,Phan_cong!$O$3:$O$302,$A102))</f>
        <v/>
      </c>
      <c r="G102" s="5">
        <f>IF($A102="","",ROUND($E102/Huong_dan!$B$7,2))</f>
        <v/>
      </c>
      <c r="H102" s="5">
        <f>IF($A102="","",ROUND($F102/Huong_dan!$B$8,2))</f>
        <v/>
      </c>
      <c r="I102" s="5">
        <f>IF($A102="","",ROUND($G102-$D102,2))</f>
        <v/>
      </c>
      <c r="J102" s="6">
        <f>IF($A102="","",ROUND($H102-$D102,2))</f>
        <v/>
      </c>
      <c r="K102" s="6">
        <f>IF($A102="","",$E102+$F102)</f>
        <v/>
      </c>
      <c r="L102" s="6">
        <f>IF($A102="","",COUNTIF(Phan_cong!$L$3:$L$302,$A102))</f>
        <v/>
      </c>
      <c r="M102" s="6">
        <f>IF($A102="","",COUNTIF(Phan_cong!$O$3:$O$302,$A102))</f>
        <v/>
      </c>
      <c r="N102" s="6" t="n"/>
    </row>
  </sheetData>
  <autoFilter ref="A2:N102"/>
  <mergeCells count="1">
    <mergeCell ref="A1:N1"/>
  </mergeCells>
  <conditionalFormatting sqref="I3:J102">
    <cfRule type="cellIs" priority="1" operator="greaterThan" dxfId="0">
      <formula>0.5</formula>
    </cfRule>
    <cfRule type="cellIs" priority="2" operator="lessThan" dxfId="1">
      <formula>-0.5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2026-03-12T15:02:01Z</dcterms:created>
  <dcterms:modified xsi:type="dcterms:W3CDTF">2026-03-12T15:02:30Z</dcterms:modified>
</cp:coreProperties>
</file>